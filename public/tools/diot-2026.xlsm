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rianAlcarazPreciad\Documents\cci-react\public\tools\"/>
    </mc:Choice>
  </mc:AlternateContent>
  <xr:revisionPtr revIDLastSave="0" documentId="8_{24921836-F337-4CCE-9D8A-2B7B255EF15B}" xr6:coauthVersionLast="47" xr6:coauthVersionMax="47" xr10:uidLastSave="{00000000-0000-0000-0000-000000000000}"/>
  <bookViews>
    <workbookView xWindow="-120" yWindow="-120" windowWidth="29040" windowHeight="15720" xr2:uid="{E3A370E1-9B1A-4763-8A66-6002D4473A63}"/>
  </bookViews>
  <sheets>
    <sheet name="DIOT" sheetId="1" r:id="rId1"/>
    <sheet name="COL" sheetId="32" r:id="rId2"/>
    <sheet name="GDL" sheetId="27" r:id="rId3"/>
    <sheet name="Hoja3" sheetId="35" r:id="rId4"/>
    <sheet name="consolodiado" sheetId="33" r:id="rId5"/>
  </sheets>
  <definedNames>
    <definedName name="_xlnm._FilterDatabase" localSheetId="1" hidden="1">COL!$A$1:$J$42</definedName>
    <definedName name="_xlnm._FilterDatabase" localSheetId="0" hidden="1">DIOT!$A$12:$BB$166</definedName>
    <definedName name="_xlnm._FilterDatabase" localSheetId="2" hidden="1">GDL!$A$1:$J$146</definedName>
    <definedName name="_xleta.ROUND" hidden="1" xlm="1">#NAME?</definedName>
    <definedName name="_xleta.VLOOKUP" hidden="1" xlm="1">#NAME?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9" i="33" l="1"/>
  <c r="B9" i="1"/>
  <c r="I177" i="33"/>
  <c r="J177" i="33"/>
  <c r="K177" i="33"/>
  <c r="H177" i="33"/>
  <c r="I176" i="33"/>
  <c r="J176" i="33"/>
  <c r="K176" i="33"/>
  <c r="H176" i="33"/>
  <c r="H138" i="27"/>
  <c r="I138" i="27"/>
  <c r="J138" i="27"/>
  <c r="G138" i="27"/>
  <c r="G140" i="27" s="1"/>
  <c r="H175" i="33"/>
  <c r="M4" i="35"/>
  <c r="M5" i="35"/>
  <c r="M6" i="35"/>
  <c r="M7" i="35"/>
  <c r="M8" i="35"/>
  <c r="M9" i="35"/>
  <c r="M10" i="35"/>
  <c r="M11" i="35"/>
  <c r="M12" i="35"/>
  <c r="M13" i="35"/>
  <c r="M14" i="35"/>
  <c r="M15" i="35"/>
  <c r="M16" i="35"/>
  <c r="M17" i="35"/>
  <c r="M18" i="35"/>
  <c r="M19" i="35"/>
  <c r="M20" i="35"/>
  <c r="M21" i="35"/>
  <c r="M22" i="35"/>
  <c r="M23" i="35"/>
  <c r="M24" i="35"/>
  <c r="M25" i="35"/>
  <c r="M26" i="35"/>
  <c r="M27" i="35"/>
  <c r="M28" i="35"/>
  <c r="M29" i="35"/>
  <c r="M30" i="35"/>
  <c r="M31" i="35"/>
  <c r="M32" i="35"/>
  <c r="M33" i="35"/>
  <c r="M34" i="35"/>
  <c r="M35" i="35"/>
  <c r="M36" i="35"/>
  <c r="M37" i="35"/>
  <c r="M38" i="35"/>
  <c r="M39" i="35"/>
  <c r="M40" i="35"/>
  <c r="M41" i="35"/>
  <c r="M42" i="35"/>
  <c r="M43" i="35"/>
  <c r="M44" i="35"/>
  <c r="M45" i="35"/>
  <c r="M46" i="35"/>
  <c r="M47" i="35"/>
  <c r="M48" i="35"/>
  <c r="M49" i="35"/>
  <c r="M50" i="35"/>
  <c r="M51" i="35"/>
  <c r="M52" i="35"/>
  <c r="M53" i="35"/>
  <c r="M54" i="35"/>
  <c r="M55" i="35"/>
  <c r="M56" i="35"/>
  <c r="M57" i="35"/>
  <c r="M58" i="35"/>
  <c r="M59" i="35"/>
  <c r="M60" i="35"/>
  <c r="M61" i="35"/>
  <c r="M62" i="35"/>
  <c r="M63" i="35"/>
  <c r="M64" i="35"/>
  <c r="M65" i="35"/>
  <c r="M66" i="35"/>
  <c r="M67" i="35"/>
  <c r="M68" i="35"/>
  <c r="M69" i="35"/>
  <c r="M70" i="35"/>
  <c r="M71" i="35"/>
  <c r="M72" i="35"/>
  <c r="M73" i="35"/>
  <c r="M74" i="35"/>
  <c r="M75" i="35"/>
  <c r="M76" i="35"/>
  <c r="M77" i="35"/>
  <c r="M78" i="35"/>
  <c r="M79" i="35"/>
  <c r="M80" i="35"/>
  <c r="M81" i="35"/>
  <c r="M82" i="35"/>
  <c r="M83" i="35"/>
  <c r="M84" i="35"/>
  <c r="M85" i="35"/>
  <c r="M86" i="35"/>
  <c r="M87" i="35"/>
  <c r="M88" i="35"/>
  <c r="M89" i="35"/>
  <c r="M90" i="35"/>
  <c r="M91" i="35"/>
  <c r="M92" i="35"/>
  <c r="M93" i="35"/>
  <c r="M94" i="35"/>
  <c r="M95" i="35"/>
  <c r="M96" i="35"/>
  <c r="M97" i="35"/>
  <c r="M98" i="35"/>
  <c r="M99" i="35"/>
  <c r="M100" i="35"/>
  <c r="M101" i="35"/>
  <c r="M102" i="35"/>
  <c r="M103" i="35"/>
  <c r="M104" i="35"/>
  <c r="M105" i="35"/>
  <c r="M106" i="35"/>
  <c r="M107" i="35"/>
  <c r="M108" i="35"/>
  <c r="M109" i="35"/>
  <c r="M110" i="35"/>
  <c r="M111" i="35"/>
  <c r="M112" i="35"/>
  <c r="M113" i="35"/>
  <c r="M114" i="35"/>
  <c r="M115" i="35"/>
  <c r="M116" i="35"/>
  <c r="M117" i="35"/>
  <c r="M118" i="35"/>
  <c r="M119" i="35"/>
  <c r="M120" i="35"/>
  <c r="M121" i="35"/>
  <c r="M122" i="35"/>
  <c r="M123" i="35"/>
  <c r="M124" i="35"/>
  <c r="M125" i="35"/>
  <c r="M126" i="35"/>
  <c r="M127" i="35"/>
  <c r="M128" i="35"/>
  <c r="M129" i="35"/>
  <c r="M130" i="35"/>
  <c r="M131" i="35"/>
  <c r="M132" i="35"/>
  <c r="M133" i="35"/>
  <c r="M134" i="35"/>
  <c r="M135" i="35"/>
  <c r="M136" i="35"/>
  <c r="M137" i="35"/>
  <c r="M138" i="35"/>
  <c r="M139" i="35"/>
  <c r="M140" i="35"/>
  <c r="M141" i="35"/>
  <c r="M142" i="35"/>
  <c r="M143" i="35"/>
  <c r="M144" i="35"/>
  <c r="M145" i="35"/>
  <c r="M146" i="35"/>
  <c r="M147" i="35"/>
  <c r="M148" i="35"/>
  <c r="M149" i="35"/>
  <c r="M150" i="35"/>
  <c r="M151" i="35"/>
  <c r="M152" i="35"/>
  <c r="M153" i="35"/>
  <c r="M154" i="35"/>
  <c r="M155" i="35"/>
  <c r="M156" i="35"/>
  <c r="M157" i="35"/>
  <c r="M158" i="35"/>
  <c r="M159" i="35"/>
  <c r="M160" i="35"/>
  <c r="I175" i="33"/>
  <c r="J175" i="33"/>
  <c r="K175" i="33"/>
  <c r="L4" i="35"/>
  <c r="L5" i="35"/>
  <c r="L6" i="35"/>
  <c r="L7" i="35"/>
  <c r="L8" i="35"/>
  <c r="L9" i="35"/>
  <c r="L10" i="35"/>
  <c r="L11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H140" i="27"/>
  <c r="H162" i="27" s="1"/>
  <c r="I140" i="27"/>
  <c r="I162" i="27" s="1"/>
  <c r="H44" i="32"/>
  <c r="I44" i="32"/>
  <c r="J44" i="32"/>
  <c r="G44" i="32"/>
  <c r="L3" i="33"/>
  <c r="L4" i="33"/>
  <c r="L5" i="33"/>
  <c r="L6" i="33"/>
  <c r="L7" i="33"/>
  <c r="L8" i="33"/>
  <c r="L9" i="33"/>
  <c r="L10" i="33"/>
  <c r="L11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L30" i="33"/>
  <c r="L31" i="33"/>
  <c r="L32" i="33"/>
  <c r="L3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83" i="33"/>
  <c r="L84" i="33"/>
  <c r="L85" i="33"/>
  <c r="L86" i="33"/>
  <c r="L87" i="33"/>
  <c r="L88" i="33"/>
  <c r="L89" i="33"/>
  <c r="L90" i="33"/>
  <c r="L91" i="33"/>
  <c r="L92" i="33"/>
  <c r="L93" i="33"/>
  <c r="L94" i="33"/>
  <c r="L95" i="33"/>
  <c r="L96" i="33"/>
  <c r="L97" i="33"/>
  <c r="L98" i="33"/>
  <c r="L99" i="33"/>
  <c r="L100" i="33"/>
  <c r="L101" i="33"/>
  <c r="L102" i="33"/>
  <c r="L103" i="33"/>
  <c r="L104" i="33"/>
  <c r="L105" i="33"/>
  <c r="L106" i="33"/>
  <c r="L107" i="33"/>
  <c r="L108" i="33"/>
  <c r="L109" i="33"/>
  <c r="L110" i="33"/>
  <c r="L111" i="33"/>
  <c r="L112" i="33"/>
  <c r="L113" i="33"/>
  <c r="L114" i="33"/>
  <c r="L115" i="33"/>
  <c r="L116" i="33"/>
  <c r="L117" i="33"/>
  <c r="L118" i="33"/>
  <c r="L119" i="33"/>
  <c r="L120" i="33"/>
  <c r="L121" i="33"/>
  <c r="L122" i="33"/>
  <c r="L123" i="33"/>
  <c r="L124" i="33"/>
  <c r="L125" i="33"/>
  <c r="L126" i="33"/>
  <c r="L127" i="33"/>
  <c r="L128" i="33"/>
  <c r="L129" i="33"/>
  <c r="L130" i="33"/>
  <c r="L131" i="33"/>
  <c r="L132" i="33"/>
  <c r="L133" i="33"/>
  <c r="L134" i="33"/>
  <c r="L135" i="33"/>
  <c r="L136" i="33"/>
  <c r="L137" i="33"/>
  <c r="L138" i="33"/>
  <c r="L139" i="33"/>
  <c r="L140" i="33"/>
  <c r="L141" i="33"/>
  <c r="L142" i="33"/>
  <c r="L143" i="33"/>
  <c r="L144" i="33"/>
  <c r="L145" i="33"/>
  <c r="L146" i="33"/>
  <c r="L147" i="33"/>
  <c r="L148" i="33"/>
  <c r="L149" i="33"/>
  <c r="L150" i="33"/>
  <c r="L151" i="33"/>
  <c r="L152" i="33"/>
  <c r="L153" i="33"/>
  <c r="L154" i="33"/>
  <c r="L155" i="33"/>
  <c r="L156" i="33"/>
  <c r="L157" i="33"/>
  <c r="L158" i="33"/>
  <c r="L159" i="33"/>
  <c r="L160" i="33"/>
  <c r="L161" i="33"/>
  <c r="L162" i="33"/>
  <c r="L163" i="33"/>
  <c r="L164" i="33"/>
  <c r="L165" i="33"/>
  <c r="L166" i="33"/>
  <c r="L167" i="33"/>
  <c r="L168" i="33"/>
  <c r="L169" i="33"/>
  <c r="L170" i="33"/>
  <c r="L171" i="33"/>
  <c r="L172" i="33"/>
  <c r="L173" i="33"/>
  <c r="L2" i="33"/>
  <c r="K4" i="32"/>
  <c r="K5" i="32"/>
  <c r="K6" i="32"/>
  <c r="K7" i="32"/>
  <c r="K8" i="32"/>
  <c r="K9" i="32"/>
  <c r="K10" i="32"/>
  <c r="K11" i="32"/>
  <c r="K12" i="32"/>
  <c r="K13" i="32"/>
  <c r="K14" i="32"/>
  <c r="K15" i="32"/>
  <c r="K16" i="32"/>
  <c r="K17" i="32"/>
  <c r="K18" i="32"/>
  <c r="K19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3" i="32"/>
  <c r="K2" i="32"/>
  <c r="H163" i="27"/>
  <c r="I163" i="27"/>
  <c r="J163" i="27"/>
  <c r="G163" i="27"/>
  <c r="C9" i="1"/>
  <c r="D9" i="1"/>
  <c r="E9" i="1"/>
  <c r="F9" i="1"/>
  <c r="G9" i="1"/>
  <c r="H9" i="1"/>
  <c r="I9" i="1"/>
  <c r="J9" i="1"/>
  <c r="K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N7" i="1" s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U9" i="1"/>
  <c r="T9" i="1"/>
  <c r="S9" i="1"/>
  <c r="R9" i="1"/>
  <c r="V9" i="1" s="1"/>
  <c r="Q9" i="1"/>
  <c r="P9" i="1"/>
  <c r="O9" i="1"/>
  <c r="N9" i="1"/>
  <c r="M9" i="1"/>
  <c r="L9" i="1"/>
  <c r="M7" i="1" s="1"/>
  <c r="O7" i="1" s="1"/>
  <c r="J140" i="27" l="1"/>
  <c r="K44" i="32"/>
  <c r="G162" i="27"/>
  <c r="G164" i="27" s="1"/>
  <c r="I164" i="27"/>
  <c r="H164" i="27"/>
  <c r="J162" i="27" l="1"/>
  <c r="J164" i="27" s="1"/>
  <c r="P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tc={BB7F0772-569C-4BA1-9424-3F1ACBCB0AFA}</author>
    <author>tc={4EC1D5C6-F602-41B4-B0AB-533C2D76FC0C}</author>
    <author>tc={F5113E58-DAEB-48C0-856A-ED1A703A9D00}</author>
    <author>tc={CFE75D2D-DDD8-46E7-9B99-61C17AB41869}</author>
    <author>tc={DDC15378-F26D-416C-ADB5-89F8A0966A3F}</author>
    <author>tc={D0CFE063-D3B2-4D01-8812-1D389ED0B462}</author>
    <author>tc={7CF48D71-2161-41AF-9B21-421D136F1538}</author>
    <author>tc={6B566F42-DBAB-4BC0-8551-8D96402EFC38}</author>
    <author>tc={E86163B5-99FB-4EF4-B6D3-7C42806C344F}</author>
    <author>tc={82F0FC5D-B2B3-4705-B423-788B13D896DC}</author>
    <author>tc={B8934FEF-6856-4825-A27D-C335A795690E}</author>
    <author>tc={D79C69D3-9B3A-4959-A0AF-E2A252C9BC15}</author>
    <author>tc={8779BE12-8D48-4CC4-AB07-4F3CB562D704}</author>
    <author>tc={5A5E2556-63A8-40E5-B6DC-B91488D06B73}</author>
    <author>tc={6A4B63C1-4029-46A2-BC51-B24698959B5E}</author>
    <author>tc={21F98673-85EF-4794-9EA0-93E5674A374A}</author>
    <author>tc={5953B777-006C-4A11-B206-EC8FA0F2267B}</author>
    <author>tc={7064873F-2C04-41DC-8F04-CAAA0CA71583}</author>
    <author>tc={B0A06204-243E-49B1-8B8F-9D248E239204}</author>
    <author>tc={61493985-39EB-4FD6-AFB9-FBDBA1592687}</author>
    <author>tc={A2E1E1D9-198F-4C1D-8A93-CAFF402B311C}</author>
    <author>tc={6C01BEF9-CBD3-40E1-94F2-BA1CC4D07481}</author>
    <author>tc={1E45DF66-A59A-45C5-807E-B32007D2B1B7}</author>
    <author>tc={A40C952C-7093-4FA2-8F5D-F63A655D0CCF}</author>
    <author>tc={DA6D2E00-F6AE-46D7-B517-FEC995D26B8A}</author>
  </authors>
  <commentList>
    <comment ref="D12" authorId="0" shapeId="0" xr:uid="{BB7F0772-569C-4BA1-9424-3F1ACBCB0AF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proveedor “nacional y global” el campo se encuentra vacío.</t>
      </text>
    </comment>
    <comment ref="E12" authorId="1" shapeId="0" xr:uid="{4EC1D5C6-F602-41B4-B0AB-533C2D76FC0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proveedor “nacional y global” el campo se encuentra vacío.</t>
      </text>
    </comment>
    <comment ref="F12" authorId="2" shapeId="0" xr:uid="{F5113E58-DAEB-48C0-856A-ED1A703A9D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proveedor “nacional y global” el campo se encuentra vacío.</t>
      </text>
    </comment>
    <comment ref="G12" authorId="3" shapeId="0" xr:uid="{CFE75D2D-DDD8-46E7-9B99-61C17AB4186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proveedor “nacional y global” el campo se encuentra vacío.</t>
      </text>
    </comment>
    <comment ref="H12" authorId="4" shapeId="0" xr:uid="{DDC15378-F26D-416C-ADB5-89F8A0966A3F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
Acepta cero. </t>
      </text>
    </comment>
    <comment ref="I12" authorId="5" shapeId="0" xr:uid="{D0CFE063-D3B2-4D01-8812-1D389ED0B462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
Acepta cero. 
El valor del campo debe ser igual o menor que el valor del campo anterior, Valor total de actos o actividades pagadas / Actos o actividades pagados en la región fronteriza norte. </t>
      </text>
    </comment>
    <comment ref="J12" authorId="6" shapeId="0" xr:uid="{7CF48D71-2161-41AF-9B21-421D136F1538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
Acepta cero. </t>
      </text>
    </comment>
    <comment ref="K12" authorId="7" shapeId="0" xr:uid="{6B566F42-DBAB-4BC0-8551-8D96402EFC38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
Acepta cero. 
El valor del campo debe ser igual o menor que el valor del campo anterior, Valor total de actos o actividades pagadas / Actos o actividades pagados en la región fronteriza sur. </t>
      </text>
    </comment>
    <comment ref="L12" authorId="8" shapeId="0" xr:uid="{E86163B5-99FB-4EF4-B6D3-7C42806C344F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
Acepta cero. </t>
      </text>
    </comment>
    <comment ref="M12" authorId="9" shapeId="0" xr:uid="{82F0FC5D-B2B3-4705-B423-788B13D896DC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El valor del campo debe ser igual o menor que el valor del campo anterior, Valor total de actos o actividades pagadas / Actos o actividades totales pagados a la tasa del 16% de IVA. </t>
      </text>
    </comment>
    <comment ref="N12" authorId="10" shapeId="0" xr:uid="{B8934FEF-6856-4825-A27D-C335A795690E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
Acepta cero. </t>
      </text>
    </comment>
    <comment ref="O12" authorId="11" shapeId="0" xr:uid="{D79C69D3-9B3A-4959-A0AF-E2A252C9BC15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El valor del campo debe ser igual o menor que el valor del campo anterior, Valor total de actos o actividades pagadas / Actos o actividades pagados en la importación por aduana de bienes tangibles a la tasa del 16% de IVA. </t>
      </text>
    </comment>
    <comment ref="P12" authorId="12" shapeId="0" xr:uid="{8779BE12-8D48-4CC4-AB07-4F3CB562D70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
Acepta cero. </t>
      </text>
    </comment>
    <comment ref="Q12" authorId="13" shapeId="0" xr:uid="{5A5E2556-63A8-40E5-B6DC-B91488D06B73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El valor del campo debe ser igual o menor que el valor del campo anterior, Valor total de actos o actividades pagadas / Actos o actividades pagados en la importación de bienes intangibles y servicios a la tasa del 16% de IVA. </t>
      </text>
    </comment>
    <comment ref="R12" authorId="14" shapeId="0" xr:uid="{6A4B63C1-4029-46A2-BC51-B24698959B5E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Se ingresa monto cuando el valor del campo Valor total de actos o actividades pagadas / Actos o actividades pagados en la región fronteriza norte es mayor a cero. </t>
      </text>
    </comment>
    <comment ref="S12" authorId="15" shapeId="0" xr:uid="{21F98673-85EF-4794-9EA0-93E5674A374A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Se ingresa monto cuando el valor del campo Valor total de actos o actividades pagadas / Actos o actividades pagados en la región fronteriza norte es mayor a cero. </t>
      </text>
    </comment>
    <comment ref="T12" authorId="16" shapeId="0" xr:uid="{5953B777-006C-4A11-B206-EC8FA0F2267B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Se ingresa monto cuando el valor del campo Valor total de actos o actividades pagadas / Actos o actividades pagados en la región fronteriza sur es mayor a cero. </t>
      </text>
    </comment>
    <comment ref="U12" authorId="17" shapeId="0" xr:uid="{7064873F-2C04-41DC-8F04-CAAA0CA71583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Se ingresa monto cuando el valor del campo Valor total de actos o actividades pagadas / Actos o actividades pagados en la región fronteriza sur es mayor a cero </t>
      </text>
    </comment>
    <comment ref="V12" authorId="18" shapeId="0" xr:uid="{B0A06204-243E-49B1-8B8F-9D248E23920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Se ingresa monto cuando el valor del campo Valor total de actos o actividades pagadas / Actos o actividades totales pagados a la tasa del 16% de IVA es mayor a cero. </t>
      </text>
    </comment>
    <comment ref="W12" authorId="19" shapeId="0" xr:uid="{61493985-39EB-4FD6-AFB9-FBDBA1592687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Se ingresa monto cuando el valor del campo Valor total de actos o actividades pagadas / Actos o actividades totales pagados a la tasa del 16% de IVA es mayor a cero. </t>
      </text>
    </comment>
    <comment ref="X12" authorId="20" shapeId="0" xr:uid="{A2E1E1D9-198F-4C1D-8A93-CAFF402B311C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Se ingresa monto cuando el valor del campo Valor total de actos o actividades pagadas / Actos o actividades pagados en la importación por aduana de bienes tangibles a la tasa del 16% de IVA es mayor a cero. </t>
      </text>
    </comment>
    <comment ref="Y12" authorId="21" shapeId="0" xr:uid="{6C01BEF9-CBD3-40E1-94F2-BA1CC4D0748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Se ingresa monto cuando el valor del campo Valor total de actos o actividades pagadas / Actos o actividades pagados en la importación por aduana de bienes tangibles a la tasa del 16% de IVA es mayor a cero </t>
      </text>
    </comment>
    <comment ref="Z12" authorId="22" shapeId="0" xr:uid="{1E45DF66-A59A-45C5-807E-B32007D2B1B7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
Se ingresa monto cuando el valor del campo Valor total de actos o actividades pagadas / Actos o actividades pagados en la importación de bienes intangibles y servicios a la tasa del 16% de IVA es mayor a cero. </t>
      </text>
    </comment>
    <comment ref="AA12" authorId="23" shapeId="0" xr:uid="{A40C952C-7093-4FA2-8F5D-F63A655D0CCF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permite decimales. 
Acepta cero. 
Se ingresa monto cuando el valor del campo Valor total de actos o actividades pagadas / Actos o actividades pagados en la importación de bienes intangibles y servicios a la tasa del 16% de IVA es mayor a cero. </t>
      </text>
    </comment>
    <comment ref="BB12" authorId="24" shapeId="0" xr:uid="{DA6D2E00-F6AE-46D7-B517-FEC995D26B8A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01 Sí 
02 No </t>
      </text>
    </comment>
  </commentList>
</comments>
</file>

<file path=xl/sharedStrings.xml><?xml version="1.0" encoding="utf-8"?>
<sst xmlns="http://schemas.openxmlformats.org/spreadsheetml/2006/main" count="2677" uniqueCount="397">
  <si>
    <t>Tipo de Tercero</t>
  </si>
  <si>
    <t>Tipo de Operación</t>
  </si>
  <si>
    <t>RFC</t>
  </si>
  <si>
    <t>Número de identificación fiscal</t>
  </si>
  <si>
    <t>Nombre del extranjero</t>
  </si>
  <si>
    <t>País o jurisdicción de residencia fiscal</t>
  </si>
  <si>
    <t>Especificar lugar de jurisdicción fiscal</t>
  </si>
  <si>
    <t>Valor total de actos o actividades pagadas / Actos o actividades pagados en la región fronteriza norte</t>
  </si>
  <si>
    <t>Devoluciones, descuentos y bonificaciones / Actos o actividades pagados en la región fronteriza norte</t>
  </si>
  <si>
    <t>Valor total de actos o actividades pagadas / Actos o actividades pagados en la región fronteriza sur</t>
  </si>
  <si>
    <t>Devoluciones, descuentos y bonificaciones / Actos o actividades pagados en la región fronteriza sur</t>
  </si>
  <si>
    <t>Valor total de actos o actividades pagadas / Actos o actividades totales pagados a la tasa del 16% de IVA</t>
  </si>
  <si>
    <t>Devoluciones, descuentos y bonificaciones / Actos o actividades totales pagados a la tasa del 16% de IVA</t>
  </si>
  <si>
    <t>Valor total de actos o actividades pagadas / Actos o actividades pagados en la importación por aduana de bienes tangibles a la tasa del 16% de IVA</t>
  </si>
  <si>
    <t>Devoluciones, descuentos y bonificaciones / Actos o actividades pagados en la importación por aduana de bienes tangibles a la tasa del 16% de IVA</t>
  </si>
  <si>
    <t>Valor total de actos o actividades pagadas / Actos o actividades pagados en la importación de bienes intangibles y servicios a la tasa del 16% de IVA</t>
  </si>
  <si>
    <t>Devoluciones, descuentos y bonificaciones / Actos o actividades pagados en la importación de bienes intangibles y servicios a la tasa del 16% de IVA</t>
  </si>
  <si>
    <t>Datos del tercero declarado</t>
  </si>
  <si>
    <t>Valor de los actos o actividades</t>
  </si>
  <si>
    <t>Exclusivamente de actividades gravadas / Actos o actividades pagados en la región fronteriza norte</t>
  </si>
  <si>
    <t>Asociado a actividades por las cuales se aplicó una proporción / Actos o actividades pagados en la región fronteriza norte</t>
  </si>
  <si>
    <t>Exclusivamente de actividades gravadas / Actos o actividades pagados en la región fronteriza sur</t>
  </si>
  <si>
    <t>Asociado a actividades por las cuales se aplicó una proporción / Actos o actividades pagados en la región fronteriza sur</t>
  </si>
  <si>
    <t>Exclusivamente de actividades gravadas / Actos o actividades totales pagados a la tasa del 16% de IVA</t>
  </si>
  <si>
    <t>Asociado a actividades por las cuales se aplicó una proporción / Actos o actividades totales pagados a la tasa del 16% de IVA</t>
  </si>
  <si>
    <t>Exclusivamente de actividades gravadas / Actos o actividades pagados en la importación por aduana de bienes tangibles a la tasa del 16% de IVA</t>
  </si>
  <si>
    <t>Asociado a actividades por las cuales se aplicó una proporción / Actos o actividades pagados en la importación por aduana de bienes tangibles a la tasa del 16% de IVA</t>
  </si>
  <si>
    <t>Exclusivamente de actividades gravadas / Actos o actividades pagados en la importación de bienes intangibles y servicios a la tasa del 16% de IVA</t>
  </si>
  <si>
    <t>Asociado a actividades por las cuales se aplicó una proporción / Actos o actividades pagados en la importación de bienes intangibles y servicios a la tasa del 16% de IVA</t>
  </si>
  <si>
    <t>IVA no acreditable</t>
  </si>
  <si>
    <t>IVA Acreditable</t>
  </si>
  <si>
    <t>Asociado a actividades que no cumple con requisitos / Actos o actividades pagados en la región fronteriza norte</t>
  </si>
  <si>
    <t>Asociado a actividades exentas / Actos o actividades pagados en la región fronteriza norte</t>
  </si>
  <si>
    <t>Asociado a actividades no objeto / Actos o actividades pagados en la región fronteriza norte</t>
  </si>
  <si>
    <t>Asociado a actividades que no cumple con requisitos / Actos o actividades pagados en la región fronteriza sur</t>
  </si>
  <si>
    <t>Asociado a actividades exentas / Actos o actividades pagados en la región fronteriza sur</t>
  </si>
  <si>
    <t>Asociado a actividades no objeto / Actos o actividades pagados en la región fronteriza sur</t>
  </si>
  <si>
    <t>Asociado a actividades que no cumple con requisitos / Actos o actividades totales pagados a la tasa del 16% de IVA</t>
  </si>
  <si>
    <t>Asociado a actividades exentas / Actos o actividades totales pagados a la tasa del 16% de IVA</t>
  </si>
  <si>
    <t>Asociado a actividades no objeto / Actos o actividades totales pagados a la tasa del 16% de IVA</t>
  </si>
  <si>
    <t>Asociado a actividades que no cumple con requisitos / Actos o actividades pagados en la importación por aduana de bienes tangibles a la tasa del 16% de IVA</t>
  </si>
  <si>
    <t>Asociado a actividades exentas / Actos o actividades pagados en la importación por aduana de bienes tangibles a la tasa del 16% de IVA</t>
  </si>
  <si>
    <t>Asociado a actividades no objeto / Actos o actividades pagados en la importación por aduana de bienes tangibles a la tasa del 16% de IVA</t>
  </si>
  <si>
    <t>Asociado a actividades por las cuales se aplicó una proporción / Actos o actividades pagados en la importación de bienes intangibles y servicios a la tasa del 16% del IVA</t>
  </si>
  <si>
    <t>Asociado a actividades que no cumple con requisitos / Actos o actividades pagados en la importación de bienes intangibles y servicios a la tasa del 16% del IVA</t>
  </si>
  <si>
    <t>Asociado a actividades exentas / Actos o actividades pagados en la importación de bienes intangibles y servicios a la tasa del 16% del IVA</t>
  </si>
  <si>
    <t>Asociado a actividades no objeto / Actos o actividades pagados en la importación de bienes intangibles y servicios a la tasa del 16% del IVA</t>
  </si>
  <si>
    <t>Datos adicionales</t>
  </si>
  <si>
    <t>IVA retenido por el contribuyente</t>
  </si>
  <si>
    <t>Actos o actividades pagados en la importación de bienes y servicios por los que no se pagara el IVA (Exentos)</t>
  </si>
  <si>
    <t>Actos o actividades pagados por los que no se pagará el IVA (Exentos)</t>
  </si>
  <si>
    <t>Demás actos o actividades pagados a la tasa del 0% de IVA</t>
  </si>
  <si>
    <t>Actos o actividades no objeto del IVA realizados en territorio nacional</t>
  </si>
  <si>
    <t>Actos o actividades no objeto del IVA por no contar con establecimiento en territorio nacional</t>
  </si>
  <si>
    <t>Manifiesto que se dio efectos fiscales a los comprobantes que amparan las operaciones realizadas con el proveedor</t>
  </si>
  <si>
    <t>04</t>
  </si>
  <si>
    <t>85</t>
  </si>
  <si>
    <t>03</t>
  </si>
  <si>
    <t>06</t>
  </si>
  <si>
    <t>ASA140602ET3</t>
  </si>
  <si>
    <t>BSM970519DU8</t>
  </si>
  <si>
    <t>CPH1803017W2</t>
  </si>
  <si>
    <t>COM960808S62</t>
  </si>
  <si>
    <t>DIM2009099W9</t>
  </si>
  <si>
    <t>DEM940426E32</t>
  </si>
  <si>
    <t>AAAE9102064B1</t>
  </si>
  <si>
    <t>BAGE940130UH7</t>
  </si>
  <si>
    <t>FES840823HH0</t>
  </si>
  <si>
    <t>FGE100924V71</t>
  </si>
  <si>
    <t>RORG910901B67</t>
  </si>
  <si>
    <t>GEM040204HC6</t>
  </si>
  <si>
    <t>AUVJ620422AN0</t>
  </si>
  <si>
    <t>GASL850904C62</t>
  </si>
  <si>
    <t>AAIL650806K82</t>
  </si>
  <si>
    <t>MFA101108496</t>
  </si>
  <si>
    <t>RELM870611C15</t>
  </si>
  <si>
    <t>NWM9709244W4</t>
  </si>
  <si>
    <t>ODM950324V2A</t>
  </si>
  <si>
    <t>SAL1508035B3</t>
  </si>
  <si>
    <t>SAN060222S32</t>
  </si>
  <si>
    <t>País</t>
  </si>
  <si>
    <t>Nacionalidad</t>
  </si>
  <si>
    <t>Pagado 16%</t>
  </si>
  <si>
    <t>Pagado 0%</t>
  </si>
  <si>
    <t>Exento</t>
  </si>
  <si>
    <t>Retenido</t>
  </si>
  <si>
    <t>MX</t>
  </si>
  <si>
    <t>Mexicano</t>
  </si>
  <si>
    <t>ARRENDAMIENTO Y SOLUCIONES EN ACTIVOS</t>
  </si>
  <si>
    <t>Banco Santander Mexico SA</t>
  </si>
  <si>
    <t>CAB PHARMA SA DE CV</t>
  </si>
  <si>
    <t>DISTRIBUCION E INNOVACION EN MEDICINAS Y EQUI</t>
  </si>
  <si>
    <t>Distribucion Especializada de Medicamentos SA</t>
  </si>
  <si>
    <t>EDUARDO DANIEL BARRERA GUTIERREZ</t>
  </si>
  <si>
    <t>FJM GRUPO EMPRESARIAL</t>
  </si>
  <si>
    <t>GONZALO MIGUEL RODRIGUEZ RIVEROS</t>
  </si>
  <si>
    <t>GRUPO EMEQUR SA DE CV</t>
  </si>
  <si>
    <t>JORGE AHUMADA VENTURA</t>
  </si>
  <si>
    <t>LIZETTE ALEJANDRA GALLEGOS SALMERON</t>
  </si>
  <si>
    <t>LUCIO ALVAREZ IGLESIAS</t>
  </si>
  <si>
    <t>MACRO FARMACIAS SA DE CV</t>
  </si>
  <si>
    <t>MANUEL ALEJANDRO RESENDIZ LOPEZ</t>
  </si>
  <si>
    <t>Nueva Wal Mart de Mexico S de R L de CV</t>
  </si>
  <si>
    <t>OFFICE DEPOT DE MEXICO SA DE CV</t>
  </si>
  <si>
    <t>SANVITE</t>
  </si>
  <si>
    <t>TIRA920226CQ7</t>
  </si>
  <si>
    <t>AIT141218M97</t>
  </si>
  <si>
    <t>ALM9910114D6</t>
  </si>
  <si>
    <t>BVM951002LX0</t>
  </si>
  <si>
    <t>BRM940216EQ6</t>
  </si>
  <si>
    <t>BEMET</t>
  </si>
  <si>
    <t>BEM240321LG2</t>
  </si>
  <si>
    <t>RUAB6901032U9</t>
  </si>
  <si>
    <t>BAB240129JV0</t>
  </si>
  <si>
    <t>ZUFC791003R52</t>
  </si>
  <si>
    <t>BEBC910625A94</t>
  </si>
  <si>
    <t>CMM1604181H1</t>
  </si>
  <si>
    <t>GAPD8909141M2</t>
  </si>
  <si>
    <t>DIMSA DISTRIBUIDORA DE MEDICAMENTOS SA DE CV</t>
  </si>
  <si>
    <t>DDM200615JC6</t>
  </si>
  <si>
    <t>ECO1702143C4</t>
  </si>
  <si>
    <t>ASE930924SS7</t>
  </si>
  <si>
    <t>FVI000209ER3</t>
  </si>
  <si>
    <t>ROGG850224JU7</t>
  </si>
  <si>
    <t>GOM0809114P5</t>
  </si>
  <si>
    <t>VIMG871228RX0</t>
  </si>
  <si>
    <t>GUS060712I53</t>
  </si>
  <si>
    <t>HRS1903218S7</t>
  </si>
  <si>
    <t>CALI9206231E7</t>
  </si>
  <si>
    <t>PAOA8412064F1</t>
  </si>
  <si>
    <t>LAMJ840207867</t>
  </si>
  <si>
    <t>ZEVJ570525L22</t>
  </si>
  <si>
    <t>FOPL8604167M3</t>
  </si>
  <si>
    <t>BAVM741030NZ7</t>
  </si>
  <si>
    <t>MARIA TERESA ENCARNACION SALINAS</t>
  </si>
  <si>
    <t>EAST770616IX5</t>
  </si>
  <si>
    <t>MACT740629A6A</t>
  </si>
  <si>
    <t>VEMM9105157D6</t>
  </si>
  <si>
    <t>MLD1609301J3</t>
  </si>
  <si>
    <t>BOGM000823F62</t>
  </si>
  <si>
    <t>MOMENTUL</t>
  </si>
  <si>
    <t>MOM220329H83</t>
  </si>
  <si>
    <t>MCL170713NJ2</t>
  </si>
  <si>
    <t>NAD901023GRA</t>
  </si>
  <si>
    <t>NSE1910071PA</t>
  </si>
  <si>
    <t>POP920629IW1</t>
  </si>
  <si>
    <t>PME960701GG0</t>
  </si>
  <si>
    <t>PCA900511K48</t>
  </si>
  <si>
    <t>RCL170713B98</t>
  </si>
  <si>
    <t>RDI841003QJ4</t>
  </si>
  <si>
    <t>SMN930802FN9</t>
  </si>
  <si>
    <t>SMG910614G13</t>
  </si>
  <si>
    <t>SAM210621BAA</t>
  </si>
  <si>
    <t>SERVICIOS INDUSTRIALES PARA EL MANEJO DEL MED</t>
  </si>
  <si>
    <t>SIM140625EW1</t>
  </si>
  <si>
    <t>SIS780421IR3</t>
  </si>
  <si>
    <t>TME840315KT6</t>
  </si>
  <si>
    <t>TPT890516JP5</t>
  </si>
  <si>
    <t>UFI9609023NA</t>
  </si>
  <si>
    <t>FOPV940819KG2</t>
  </si>
  <si>
    <t>WCD181129D50</t>
  </si>
  <si>
    <t>FOGG670804N39</t>
  </si>
  <si>
    <t>GAEL8604295P8</t>
  </si>
  <si>
    <t>MAGB000831191</t>
  </si>
  <si>
    <t>MCM960926B49</t>
  </si>
  <si>
    <t>OORS651022K14</t>
  </si>
  <si>
    <t>SUCF891009B89</t>
  </si>
  <si>
    <t>ZAPJ870731FQ1</t>
  </si>
  <si>
    <t>SERVANDO RAFAEL OROZCO RODRIGUEZ</t>
  </si>
  <si>
    <t>APL241106QP3</t>
  </si>
  <si>
    <t>COMISION FEDERAL DE ELECTRICIDAD</t>
  </si>
  <si>
    <t>CFE370814QI0</t>
  </si>
  <si>
    <t>CAEC79101231A</t>
  </si>
  <si>
    <t>PBI061115SC6</t>
  </si>
  <si>
    <t>GASS950620I67</t>
  </si>
  <si>
    <t>SASA560615DJ8</t>
  </si>
  <si>
    <t>PCH240410H82</t>
  </si>
  <si>
    <t>PDI110315PA2</t>
  </si>
  <si>
    <t>TBU210421JV6</t>
  </si>
  <si>
    <t>ERIKA MONTSERRAT MATA NEGRETE</t>
  </si>
  <si>
    <t>MANE920107PV6</t>
  </si>
  <si>
    <t>NANCY PAULETTE MARTIN DEL CAMPO DEL TORO</t>
  </si>
  <si>
    <t>MATN870108TY6</t>
  </si>
  <si>
    <t>ALAN TISCAREÑO RODRIGUEZ</t>
  </si>
  <si>
    <t>ALCATRAZ IT SA DE CV</t>
  </si>
  <si>
    <t>ALMA LYDA SAUL SOLIS</t>
  </si>
  <si>
    <t>ASSETS PURE LEASING</t>
  </si>
  <si>
    <t>Ab&amp;c Leasing de Mexico SAPI de CV</t>
  </si>
  <si>
    <t>BANCO ACTINVER SA INSTITUCION DE BANCA MULTIP</t>
  </si>
  <si>
    <t>BANCO VE POR MAS SA INSTITUCION DE BANCA MULT</t>
  </si>
  <si>
    <t>BANREGIO GRUPO FINANCIERO SAB DE CV</t>
  </si>
  <si>
    <t>BENJAMIN RUIZ ALVAREZ</t>
  </si>
  <si>
    <t>BREWS &amp; BITES CAFE</t>
  </si>
  <si>
    <t>Brenda Cristina Marquez Gutierrez</t>
  </si>
  <si>
    <t>CARLOS JOSE ZULOAGA FERNANDEZ DEL VALLE</t>
  </si>
  <si>
    <t>CARMEN GUADALUPE BERMUDEZ BARRIENTOS</t>
  </si>
  <si>
    <t xml:space="preserve">COMERCIALIZADORA DE MEDICAMENTOS Y MATERIALE </t>
  </si>
  <si>
    <t>COMPUCAD SA DE CV</t>
  </si>
  <si>
    <t>DANIEL ALEJANDRO GARCIA PADILLA</t>
  </si>
  <si>
    <t>ECOLIMPRO SA DE CV</t>
  </si>
  <si>
    <t>EDENRED MEXICO</t>
  </si>
  <si>
    <t>EDER ARAIZA ALVARADO</t>
  </si>
  <si>
    <t>FARMACEUTICOS VIDA SA DE CV</t>
  </si>
  <si>
    <t>FARMACOS ESPECIALIZADOS SA DE CV</t>
  </si>
  <si>
    <t>FELIPE DE JESUS SUAREZ CARDENAS</t>
  </si>
  <si>
    <t>GLORIA PRISCILA ROSALES GOMEZ</t>
  </si>
  <si>
    <t>GOOGLE OPERACIONES DE MEXICO</t>
  </si>
  <si>
    <t>GRECIA ELIZABETH VIVEROS MONTAÑO</t>
  </si>
  <si>
    <t>GRUPO UNIMEDICAL SOLUCIONES SA DE CV</t>
  </si>
  <si>
    <t>HOSPITAL REAL SAN JOSE VALLE REAL</t>
  </si>
  <si>
    <t>Iris Chantal Carrillo Lopez</t>
  </si>
  <si>
    <t>JESSICA GABRIELA ZAVALZA PASILLAS</t>
  </si>
  <si>
    <t>JOSE ALEJANDRO PADILLA ORTEGA</t>
  </si>
  <si>
    <t>JOSE JOB LAGUNES MUÑOZ</t>
  </si>
  <si>
    <t>JOSE ZERMEÑO VILLASEÑOR</t>
  </si>
  <si>
    <t>LIZBETH ALEJANDRA GARCIA ESPINOSA</t>
  </si>
  <si>
    <t>LUIS ALBERTO FLORES PAYAN</t>
  </si>
  <si>
    <t>MA GUADALUPE FLORES GARCIA</t>
  </si>
  <si>
    <t>MARCO ANTONIO BARBA VAZQUEZ</t>
  </si>
  <si>
    <t>MARIA DEL CARMEN CANAL ESTEVEZ</t>
  </si>
  <si>
    <t>MARIA ENRIQUETA NUÑEZ NUÑEZ</t>
  </si>
  <si>
    <t>NUNE5208222B2</t>
  </si>
  <si>
    <t>MARIA TERESA MARTINEZ DE LA CRUZ</t>
  </si>
  <si>
    <t>MARISOL VELAZQUEZ MARTIN DEL CAMPO</t>
  </si>
  <si>
    <t>MEGACABLE COMUNICACIONES DE MEXICO</t>
  </si>
  <si>
    <t>MEXICO LADRILLO Y DISEÑO</t>
  </si>
  <si>
    <t>MIRIAM FABIOLA BORBOA GUERRERO</t>
  </si>
  <si>
    <t>Mantenimiento Cien Ladrillos SA de CV</t>
  </si>
  <si>
    <t>NADRO SAPI DE CV</t>
  </si>
  <si>
    <t>NAROA SERVICIOS</t>
  </si>
  <si>
    <t>PAPELERIA OPCION SA DE CV</t>
  </si>
  <si>
    <t>PRAXAIR MEXICO S DE R L DE C V</t>
  </si>
  <si>
    <t>PROBEMEDIC DISTRIBUCIONES</t>
  </si>
  <si>
    <t>Programacion Comercial Aplicada SA de CV</t>
  </si>
  <si>
    <t>RENTAS CIEN LADRILLOS SA DE CV</t>
  </si>
  <si>
    <t>Radiomovil Dipsa SA de CV</t>
  </si>
  <si>
    <t>SALUBOX SAPI DE CV</t>
  </si>
  <si>
    <t>SEGUROS MONTERREY NEW YORK LIFE</t>
  </si>
  <si>
    <t>SERGIO IVAN GARDUÑO SANCHEZ</t>
  </si>
  <si>
    <t>SERVICIO MINERVA DE GUADALAJARA SA DE CV</t>
  </si>
  <si>
    <t>SERVICIOS ADUANALES Y MEDICOS FARM</t>
  </si>
  <si>
    <t>SISTEMA INTERMUNICIPAL DE LOS SERVICIOS DE AG</t>
  </si>
  <si>
    <t>TECH BUKERS</t>
  </si>
  <si>
    <t>TELEFONOS DE MEXICO</t>
  </si>
  <si>
    <t>TOTAL BOX SA DE CV</t>
  </si>
  <si>
    <t>TBO140305DH0</t>
  </si>
  <si>
    <t>TOTAL PLAY TELECOMUNICACIONES SAPI DE CV</t>
  </si>
  <si>
    <t>UNIFIN FINANCIERA SAB DE CV</t>
  </si>
  <si>
    <t>VIVIANA FLORES PADILLA</t>
  </si>
  <si>
    <t>WCD</t>
  </si>
  <si>
    <t>CENTRO EMPRESARIAL DE COLIMA S P</t>
  </si>
  <si>
    <t>CEC920925QR4</t>
  </si>
  <si>
    <t>MA DE LOS ANGELES TRUJILLO REYES</t>
  </si>
  <si>
    <t>TURM640804RF8</t>
  </si>
  <si>
    <t>RAUL ISAAC RIVERA MORENO</t>
  </si>
  <si>
    <t>RIMR9508158W0</t>
  </si>
  <si>
    <t>AEROENLACES NACIONALES</t>
  </si>
  <si>
    <t>ANA050518RL1</t>
  </si>
  <si>
    <t>ALEJANDRA CALVO OUSSET</t>
  </si>
  <si>
    <t>CAOA830902TI0</t>
  </si>
  <si>
    <t>CLINICA PARA SOPORTE DEL PACIENTE CON DOLOR S</t>
  </si>
  <si>
    <t>CSP140813MI7</t>
  </si>
  <si>
    <t>FJH HOTELEROS</t>
  </si>
  <si>
    <t>FHO080226FI9</t>
  </si>
  <si>
    <t>GLORIA MATILDE SERRANO GONZALEZ</t>
  </si>
  <si>
    <t>SEGG640529MH1</t>
  </si>
  <si>
    <t>GRUPO FERRETERIA CALZADA SA DE CV</t>
  </si>
  <si>
    <t>GFC080612KG3</t>
  </si>
  <si>
    <t>HECTOR DANIEL NAVARRO AGUILAR</t>
  </si>
  <si>
    <t>NAAH960706QP7</t>
  </si>
  <si>
    <t>MIRANDA MORTERA Y COMPAÑIA SA DE CV</t>
  </si>
  <si>
    <t>MMO961219RJ3</t>
  </si>
  <si>
    <t>NETFLIX MEXICO</t>
  </si>
  <si>
    <t>NME110513PI3</t>
  </si>
  <si>
    <t xml:space="preserve">ALTA ESPECIALIDAD Y SERVICIO PHARMACY  SA DE </t>
  </si>
  <si>
    <t>AES180605MV5</t>
  </si>
  <si>
    <t>CARLOS EFRAIN SERRATOS GUTIERREZ</t>
  </si>
  <si>
    <t>SEGC961222GZ6</t>
  </si>
  <si>
    <t>CHRISTIANE MARIELLA GUTIERREZ RIVERA</t>
  </si>
  <si>
    <t>GURC011020AW4</t>
  </si>
  <si>
    <t>COMISION INTERMUNICIPAL DE AGUA POTABLE Y ALC</t>
  </si>
  <si>
    <t>CIA920101HI5</t>
  </si>
  <si>
    <t>DOCTORALIA MEXICO</t>
  </si>
  <si>
    <t>DME170227T83</t>
  </si>
  <si>
    <t>HOME DEPOT MEXICO S DE RL DE CV</t>
  </si>
  <si>
    <t>HDM001017AS1</t>
  </si>
  <si>
    <t>MIGUEL ANGEL SOLORZANO RODRIGUEZ</t>
  </si>
  <si>
    <t>SORM920903H51</t>
  </si>
  <si>
    <t>SERVICIOS INTEGRALES MEDICOS AVANZADOS DE OCC</t>
  </si>
  <si>
    <t>SIM250605CE5</t>
  </si>
  <si>
    <t>SERVICIOS Y LUBRICANTES JOYCAR</t>
  </si>
  <si>
    <t>SLJ9601091Z0</t>
  </si>
  <si>
    <t>XITLALY ELIZABETH RODRIGUEZ ZAMORA</t>
  </si>
  <si>
    <t>ROZX8502174Z9</t>
  </si>
  <si>
    <t>AEROVIAS DE MEXICO</t>
  </si>
  <si>
    <t>AME880912I89</t>
  </si>
  <si>
    <t>ANA ELENA PEREZ VERDIN</t>
  </si>
  <si>
    <t>PEVA790707IF7</t>
  </si>
  <si>
    <t>ANA OLIVIA CORTES FLORES</t>
  </si>
  <si>
    <t>COFA7109276N9</t>
  </si>
  <si>
    <t>CVA041027H80</t>
  </si>
  <si>
    <t>ENDOMEDICA SA DE CV</t>
  </si>
  <si>
    <t>END860130349</t>
  </si>
  <si>
    <t>FELIX ALMA DELIA HERNANDEZ GONZALEZ</t>
  </si>
  <si>
    <t>HEGF7905011N2</t>
  </si>
  <si>
    <t>GABRIELA GARCIA MENDOZA</t>
  </si>
  <si>
    <t>GAMG840420GW8</t>
  </si>
  <si>
    <t>GRUPO DYSBA</t>
  </si>
  <si>
    <t>GDY950214UZ0</t>
  </si>
  <si>
    <t>JAIME CORONA RIVERA</t>
  </si>
  <si>
    <t>CORJ800326FK3</t>
  </si>
  <si>
    <t>JESUS DANIEL GONZALEZ CAMACHO</t>
  </si>
  <si>
    <t>GOCJ930920B10</t>
  </si>
  <si>
    <t>LUIS EDUARDO ROSARIO ECHEVERRIA</t>
  </si>
  <si>
    <t>ROEL021121TR4</t>
  </si>
  <si>
    <t>MERCEDES CECILIA SORIANO VELASCO</t>
  </si>
  <si>
    <t>SOVM990907IK6</t>
  </si>
  <si>
    <t>OCTAVIO ALEJANDRO FUENTES MENDEZ</t>
  </si>
  <si>
    <t>FUMO920217467</t>
  </si>
  <si>
    <t>OMAR ISAIAS CHAVEZ SANCHEZ</t>
  </si>
  <si>
    <t>CASO820609V85</t>
  </si>
  <si>
    <t>ROSALBA SOTO PEREZ</t>
  </si>
  <si>
    <t>SOPR5402207T7</t>
  </si>
  <si>
    <t>BEBIENDO</t>
  </si>
  <si>
    <t>BEB040513M95</t>
  </si>
  <si>
    <t>PRIME CARE HUB INOVA</t>
  </si>
  <si>
    <t>TRAMO CARRETERO GUADALAJARACOLIMA</t>
  </si>
  <si>
    <t>TCG870817Q74</t>
  </si>
  <si>
    <t>ALEJANDRO DE JESUS GONZALEZ SIERRA</t>
  </si>
  <si>
    <t>GOSA680516GT9</t>
  </si>
  <si>
    <t>ANA MARIA MENDOZA CORTES</t>
  </si>
  <si>
    <t>MECA781002PU0</t>
  </si>
  <si>
    <t>ANDREA ELIZABETH SALCIDO DIAZ</t>
  </si>
  <si>
    <t>SADA990706734</t>
  </si>
  <si>
    <t>B BRAUN MEDICAL DE MEXICO SA DE CV</t>
  </si>
  <si>
    <t>BBM110914271</t>
  </si>
  <si>
    <t>BALANCE URBANO CONTROL DE PLAGAS SA DE CV</t>
  </si>
  <si>
    <t>BUC000703MN3</t>
  </si>
  <si>
    <t>BARRETO SERVICIOS PROFESIONALES</t>
  </si>
  <si>
    <t>BSP1804239E9</t>
  </si>
  <si>
    <t>CARBON LABS MEXICO</t>
  </si>
  <si>
    <t>CLM191024DYA</t>
  </si>
  <si>
    <t>CELIA GUADALUPE GONZALEZ MONTES</t>
  </si>
  <si>
    <t>GOMC9603266D5</t>
  </si>
  <si>
    <t>CLINIC &amp; BIOMEDIC CONSULTING</t>
  </si>
  <si>
    <t>CAB111124J42</t>
  </si>
  <si>
    <t>COI CENTRO ONCOLOGICO INTERNACIONAL</t>
  </si>
  <si>
    <t>OOI110513A52</t>
  </si>
  <si>
    <t>COMERCIALIZADORA FRIARTICO</t>
  </si>
  <si>
    <t>CFR170322960</t>
  </si>
  <si>
    <t>COMERCIALIZADORA MAILO CASTILLO</t>
  </si>
  <si>
    <t>CMC2205116F3</t>
  </si>
  <si>
    <t>Concesionaria Vuela Compañia de Aviacion SAPI</t>
  </si>
  <si>
    <t>DAYSTON CONSULTORES</t>
  </si>
  <si>
    <t>LIA180910M70</t>
  </si>
  <si>
    <t>ESPECIALIDADES MEDICOBIOLOGICAS DE MEXICO</t>
  </si>
  <si>
    <t>EMM160701UX0</t>
  </si>
  <si>
    <t>FARMACOPEA DE LOS ESTADOS UNIDOS MEXICANOS AC</t>
  </si>
  <si>
    <t>FEU050214BE6</t>
  </si>
  <si>
    <t>IGNACIO MIGUEL FUENTES MENDEZ</t>
  </si>
  <si>
    <t>FUMI820109143</t>
  </si>
  <si>
    <t>JORGE EMILIO SANCHEZ VALVERDE</t>
  </si>
  <si>
    <t>SAVJ841121NZ9</t>
  </si>
  <si>
    <t>LUZ TERESA VALENZUELA LOPEZ</t>
  </si>
  <si>
    <t>VALL920617UU0</t>
  </si>
  <si>
    <t>MEDICA MXT SA DE CV</t>
  </si>
  <si>
    <t>MMX190201G45</t>
  </si>
  <si>
    <t>METRILAB INTERNACIONAL S DE RL DE CV</t>
  </si>
  <si>
    <t>MIN150304UH3</t>
  </si>
  <si>
    <t>MIGUEL ANGEL HUERTA GUTIERREZ</t>
  </si>
  <si>
    <t>HUGM870506PN3</t>
  </si>
  <si>
    <t>NAYELLI GARCIA JIMENEZ</t>
  </si>
  <si>
    <t>GAJN900609IA7</t>
  </si>
  <si>
    <t>NOEL ESAUL LUNA ROMERO</t>
  </si>
  <si>
    <t>LURN870704I58</t>
  </si>
  <si>
    <t>PAULA ANEL CABRERA GALEANA</t>
  </si>
  <si>
    <t>CAGP720301QJ3</t>
  </si>
  <si>
    <t>PLATAFORMA COMERCIAL MEDICA SA DE CV</t>
  </si>
  <si>
    <t>PCM110221TA0</t>
  </si>
  <si>
    <t>RAFAEL ZAVALA VEGA</t>
  </si>
  <si>
    <t>ZAVR771012838</t>
  </si>
  <si>
    <t>REDES TECNOLOGICAS DE OCCIDENTE</t>
  </si>
  <si>
    <t>RTD130731GF3</t>
  </si>
  <si>
    <t>SAMUEL AGREDANO PEREZ</t>
  </si>
  <si>
    <t>AEPS860106DY0</t>
  </si>
  <si>
    <t>SILVIA EUNICE RAMIREZ ANDRADE</t>
  </si>
  <si>
    <t>RAAS871003RN5</t>
  </si>
  <si>
    <t>VALOR 8 EMPRE5ARIAL</t>
  </si>
  <si>
    <t>VOE230821U67</t>
  </si>
  <si>
    <t>PROVEEDOR</t>
  </si>
  <si>
    <t>Etiquetas de fila</t>
  </si>
  <si>
    <t>(en blanco)</t>
  </si>
  <si>
    <t>Total general</t>
  </si>
  <si>
    <t>Suma de Pagado 16%</t>
  </si>
  <si>
    <t>Suma de Pagado 0%</t>
  </si>
  <si>
    <t>Suma de Exento</t>
  </si>
  <si>
    <t>Suma de Retenido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</si>
</sst>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Aptos Narrow"/>
      <family val="2"/>
      <scheme val="minor"/>
    </font>
    <font>
      <sz val="11"/>
      <name val="Calibri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rial"/>
      <family val="2"/>
    </font>
    <font>
      <b/>
      <sz val="12"/>
      <color rgb="FF666666"/>
      <name val="Arial"/>
      <family val="2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46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vertical="center" wrapText="1"/>
    </xf>
    <xf numFmtId="0" fontId="0" fillId="6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0" fillId="5" borderId="4" xfId="0" applyFill="1" applyBorder="1" applyAlignment="1">
      <alignment vertical="center" wrapText="1"/>
    </xf>
    <xf numFmtId="0" fontId="0" fillId="7" borderId="1" xfId="0" applyFill="1" applyBorder="1" applyAlignment="1">
      <alignment vertical="center" wrapText="1"/>
    </xf>
    <xf numFmtId="0" fontId="1" fillId="0" borderId="0" xfId="0" applyFont="1"/>
    <xf numFmtId="0" fontId="0" fillId="2" borderId="1" xfId="0" applyFill="1" applyBorder="1" applyAlignment="1">
      <alignment vertical="center" wrapText="1"/>
    </xf>
    <xf numFmtId="0" fontId="1" fillId="0" borderId="1" xfId="0" applyFont="1" applyBorder="1"/>
    <xf numFmtId="43" fontId="0" fillId="0" borderId="0" xfId="1" applyFont="1"/>
    <xf numFmtId="0" fontId="5" fillId="0" borderId="5" xfId="0" applyFont="1" applyBorder="1"/>
    <xf numFmtId="0" fontId="6" fillId="0" borderId="0" xfId="0" applyFont="1" applyAlignment="1">
      <alignment horizontal="left" indent="1"/>
    </xf>
    <xf numFmtId="0" fontId="6" fillId="0" borderId="0" xfId="0" applyFont="1"/>
    <xf numFmtId="0" fontId="0" fillId="0" borderId="1" xfId="0" applyBorder="1"/>
    <xf numFmtId="0" fontId="1" fillId="0" borderId="6" xfId="0" applyFont="1" applyBorder="1"/>
    <xf numFmtId="0" fontId="0" fillId="0" borderId="6" xfId="0" applyBorder="1"/>
    <xf numFmtId="1" fontId="1" fillId="0" borderId="1" xfId="0" applyNumberFormat="1" applyFont="1" applyBorder="1"/>
    <xf numFmtId="43" fontId="0" fillId="0" borderId="0" xfId="0" applyNumberFormat="1"/>
    <xf numFmtId="1" fontId="7" fillId="0" borderId="1" xfId="0" applyNumberFormat="1" applyFont="1" applyBorder="1"/>
    <xf numFmtId="2" fontId="7" fillId="0" borderId="1" xfId="0" applyNumberFormat="1" applyFont="1" applyBorder="1"/>
    <xf numFmtId="49" fontId="1" fillId="0" borderId="1" xfId="0" quotePrefix="1" applyNumberFormat="1" applyFont="1" applyBorder="1" applyAlignment="1">
      <alignment horizontal="right"/>
    </xf>
    <xf numFmtId="43" fontId="5" fillId="0" borderId="5" xfId="1" applyFont="1" applyBorder="1"/>
    <xf numFmtId="43" fontId="6" fillId="0" borderId="0" xfId="1" applyFont="1"/>
    <xf numFmtId="0" fontId="0" fillId="0" borderId="7" xfId="0" applyBorder="1"/>
    <xf numFmtId="0" fontId="1" fillId="0" borderId="1" xfId="1" applyNumberFormat="1" applyFont="1" applyBorder="1"/>
    <xf numFmtId="0" fontId="0" fillId="0" borderId="1" xfId="1" applyNumberFormat="1" applyFont="1" applyBorder="1"/>
    <xf numFmtId="0" fontId="0" fillId="0" borderId="7" xfId="1" applyNumberFormat="1" applyFont="1" applyBorder="1"/>
    <xf numFmtId="0" fontId="1" fillId="0" borderId="4" xfId="0" applyFont="1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2" borderId="7" xfId="0" applyFill="1" applyBorder="1" applyAlignment="1">
      <alignment vertical="center" wrapText="1"/>
    </xf>
    <xf numFmtId="43" fontId="0" fillId="0" borderId="1" xfId="1" applyFont="1" applyBorder="1"/>
    <xf numFmtId="0" fontId="6" fillId="0" borderId="0" xfId="0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6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7" borderId="1" xfId="0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</xdr:row>
          <xdr:rowOff>57150</xdr:rowOff>
        </xdr:from>
        <xdr:to>
          <xdr:col>6</xdr:col>
          <xdr:colOff>504825</xdr:colOff>
          <xdr:row>6</xdr:row>
          <xdr:rowOff>57150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TXT DIOT 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2</xdr:row>
          <xdr:rowOff>133350</xdr:rowOff>
        </xdr:from>
        <xdr:to>
          <xdr:col>10</xdr:col>
          <xdr:colOff>9525</xdr:colOff>
          <xdr:row>5</xdr:row>
          <xdr:rowOff>95250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45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drian Alcaraz Preciado" id="{E31924EE-631B-4688-B751-5F76BD8833E3}" userId="S::aalcaraz@onkimia.com::f3d63885-c619-4719-bc37-521b9c14fb0b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gar Ceja Alvarado" refreshedDate="46048.492281250001" createdVersion="8" refreshedVersion="8" minRefreshableVersion="3" recordCount="178" xr:uid="{7D209F8A-2845-4C4A-BCFF-FDC22DF480D8}">
  <cacheSource type="worksheet">
    <worksheetSource ref="B1:K1048576" sheet="consolodiado"/>
  </cacheSource>
  <cacheFields count="11">
    <cacheField name="PROVEEDOR" numFmtId="0">
      <sharedItems containsBlank="1"/>
    </cacheField>
    <cacheField name="Tipo de Tercero" numFmtId="0">
      <sharedItems containsBlank="1" count="2">
        <s v="04"/>
        <m/>
      </sharedItems>
    </cacheField>
    <cacheField name="Tipo de Operación" numFmtId="0">
      <sharedItems containsBlank="1" count="4">
        <s v="85"/>
        <s v="03"/>
        <s v="06"/>
        <m/>
      </sharedItems>
    </cacheField>
    <cacheField name="RFC" numFmtId="0">
      <sharedItems containsBlank="1" count="158">
        <s v="ANA050518RL1"/>
        <s v="AME880912I89"/>
        <s v="TIRA920226CQ7"/>
        <s v="AIT141218M97"/>
        <s v="GOSA680516GT9"/>
        <s v="SASA560615DJ8"/>
        <s v="AES180605MV5"/>
        <s v="PEVA790707IF7"/>
        <s v="MECA781002PU0"/>
        <s v="COFA7109276N9"/>
        <s v="SADA990706734"/>
        <s v="APL241106QP3"/>
        <s v="ALM9910114D6"/>
        <s v="BBM110914271"/>
        <s v="BUC000703MN3"/>
        <s v="PBI061115SC6"/>
        <s v="BVM951002LX0"/>
        <s v="BRM940216EQ6"/>
        <s v="BSP1804239E9"/>
        <s v="BEM240321LG2"/>
        <s v="RUAB6901032U9"/>
        <s v="BAB240129JV0"/>
        <s v="BSM970519DU8"/>
        <s v="MAGB000831191"/>
        <s v="CPH1803017W2"/>
        <s v="CLM191024DYA"/>
        <s v="ZUFC791003R52"/>
        <s v="BEBC910625A94"/>
        <s v="GOMC9603266D5"/>
        <s v="CAB111124J42"/>
        <s v="CSP140813MI7"/>
        <s v="OOI110513A52"/>
        <s v="CMM1604181H1"/>
        <s v="CFR170322960"/>
        <s v="CMC2205116F3"/>
        <s v="CFE370814QI0"/>
        <s v="COM960808S62"/>
        <s v="CVA041027H80"/>
        <s v="GAPD8909141M2"/>
        <s v="LIA180910M70"/>
        <s v="DDM200615JC6"/>
        <s v="DIM2009099W9"/>
        <s v="DEM940426E32"/>
        <s v="ECO1702143C4"/>
        <s v="ASE930924SS7"/>
        <s v="AAAE9102064B1"/>
        <s v="BAGE940130UH7"/>
        <s v="END860130349"/>
        <s v="EMM160701UX0"/>
        <s v="FVI000209ER3"/>
        <s v="FEU050214BE6"/>
        <s v="FES840823HH0"/>
        <s v="SUCF891009B89"/>
        <s v="GAMG840420GW8"/>
        <s v="SEGG640529MH1"/>
        <s v="ROGG850224JU7"/>
        <s v="GOM0809114P5"/>
        <s v="VIMG871228RX0"/>
        <s v="GDY950214UZ0"/>
        <s v="GEM040204HC6"/>
        <s v="GFC080612KG3"/>
        <s v="GUS060712I53"/>
        <s v="NAAH960706QP7"/>
        <s v="HRS1903218S7"/>
        <s v="FUMI820109143"/>
        <s v="CALI9206231E7"/>
        <s v="CORJ800326FK3"/>
        <s v="ZAPJ870731FQ1"/>
        <s v="GOCJ930920B10"/>
        <s v="SAVJ841121NZ9"/>
        <s v="PAOA8412064F1"/>
        <s v="LAMJ840207867"/>
        <s v="ZEVJ570525L22"/>
        <s v="GAEL8604295P8"/>
        <s v="FOPL8604167M3"/>
        <s v="ROEL021121TR4"/>
        <s v="VALL920617UU0"/>
        <s v="FOGG670804N39"/>
        <s v="MFA101108496"/>
        <s v="BAVM741030NZ7"/>
        <s v="CAEC79101231A"/>
        <s v="NUNE5208222B2"/>
        <s v="EAST770616IX5"/>
        <s v="MACT740629A6A"/>
        <s v="VEMM9105157D6"/>
        <s v="MMX190201G45"/>
        <s v="MCM960926B49"/>
        <s v="MLD1609301J3"/>
        <s v="HUGM870506PN3"/>
        <s v="MMO961219RJ3"/>
        <s v="BOGM000823F62"/>
        <s v="MOM220329H83"/>
        <s v="MCL170713NJ2"/>
        <s v="NAD901023GRA"/>
        <s v="NSE1910071PA"/>
        <s v="GAJN900609IA7"/>
        <s v="NME110513PI3"/>
        <s v="LURN870704I58"/>
        <s v="NWM9709244W4"/>
        <s v="FUMO920217467"/>
        <s v="CASO820609V85"/>
        <s v="POP920629IW1"/>
        <s v="CAGP720301QJ3"/>
        <s v="PCM110221TA0"/>
        <s v="PME960701GG0"/>
        <s v="PDI110315PA2"/>
        <s v="PCA900511K48"/>
        <s v="ZAVR771012838"/>
        <s v="RTD130731GF3"/>
        <s v="RCL170713B98"/>
        <s v="SOPR5402207T7"/>
        <s v="RDI841003QJ4"/>
        <s v="SAL1508035B3"/>
        <s v="AEPS860106DY0"/>
        <s v="SAN060222S32"/>
        <s v="SMN930802FN9"/>
        <s v="GASS950620I67"/>
        <s v="OORS651022K14"/>
        <s v="SMG910614G13"/>
        <s v="SAM210621BAA"/>
        <s v="SIM140625EW1"/>
        <s v="RAAS871003RN5"/>
        <s v="SIS780421IR3"/>
        <s v="TBU210421JV6"/>
        <s v="TME840315KT6"/>
        <s v="TBO140305DH0"/>
        <s v="TPT890516JP5"/>
        <s v="UFI9609023NA"/>
        <s v="VOE230821U67"/>
        <s v="FOPV940819KG2"/>
        <s v="WCD181129D50"/>
        <s v="ASA140602ET3"/>
        <s v="BEB040513M95"/>
        <s v="SEGC961222GZ6"/>
        <s v="CEC920925QR4"/>
        <s v="GURC011020AW4"/>
        <s v="CIA920101HI5"/>
        <s v="DME170227T83"/>
        <s v="MANE920107PV6"/>
        <s v="FHO080226FI9"/>
        <s v="FGE100924V71"/>
        <s v="RORG910901B67"/>
        <s v="HDM001017AS1"/>
        <s v="AUVJ620422AN0"/>
        <s v="GASL850904C62"/>
        <s v="AAIL650806K82"/>
        <s v="TURM640804RF8"/>
        <s v="RELM870611C15"/>
        <s v="SORM920903H51"/>
        <s v="MATN870108TY6"/>
        <s v="ODM950324V2A"/>
        <s v="PCH240410H82"/>
        <s v="RIMR9508158W0"/>
        <s v="SIM250605CE5"/>
        <s v="SLJ9601091Z0"/>
        <s v="TCG870817Q74"/>
        <s v="ROZX8502174Z9"/>
        <m/>
      </sharedItems>
    </cacheField>
    <cacheField name="País" numFmtId="0">
      <sharedItems containsBlank="1"/>
    </cacheField>
    <cacheField name="Nacionalidad" numFmtId="0">
      <sharedItems containsBlank="1"/>
    </cacheField>
    <cacheField name="Pagado 16%" numFmtId="43">
      <sharedItems containsString="0" containsBlank="1" containsNumber="1" containsInteger="1" minValue="0" maxValue="402457"/>
    </cacheField>
    <cacheField name="Pagado 8 %" numFmtId="43">
      <sharedItems containsString="0" containsBlank="1" containsNumber="1" containsInteger="1" minValue="0" maxValue="0"/>
    </cacheField>
    <cacheField name="Pagado 0%" numFmtId="43">
      <sharedItems containsString="0" containsBlank="1" containsNumber="1" containsInteger="1" minValue="0" maxValue="4091811"/>
    </cacheField>
    <cacheField name="Exento" numFmtId="43">
      <sharedItems containsString="0" containsBlank="1" containsNumber="1" containsInteger="1" minValue="0" maxValue="676860"/>
    </cacheField>
    <cacheField name="Retenido" numFmtId="43">
      <sharedItems containsString="0" containsBlank="1" containsNumber="1" containsInteger="1" minValue="0" maxValue="298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8">
  <r>
    <s v="AEROENLACES NACIONALES"/>
    <x v="0"/>
    <x v="0"/>
    <x v="0"/>
    <s v="MX"/>
    <s v="Mexicano"/>
    <n v="1277"/>
    <n v="0"/>
    <n v="731"/>
    <n v="0"/>
    <n v="0"/>
  </r>
  <r>
    <s v="AEROVIAS DE MEXICO"/>
    <x v="0"/>
    <x v="0"/>
    <x v="1"/>
    <s v="MX"/>
    <s v="Mexicano"/>
    <n v="5876"/>
    <n v="0"/>
    <n v="0"/>
    <n v="0"/>
    <n v="0"/>
  </r>
  <r>
    <s v="ALAN TISCAREÑO RODRIGUEZ"/>
    <x v="0"/>
    <x v="1"/>
    <x v="2"/>
    <s v="MX"/>
    <s v="Mexicano"/>
    <n v="14400"/>
    <n v="0"/>
    <n v="0"/>
    <n v="0"/>
    <n v="1536"/>
  </r>
  <r>
    <s v="ALCATRAZ IT SA DE CV"/>
    <x v="0"/>
    <x v="0"/>
    <x v="3"/>
    <s v="MX"/>
    <s v="Mexicano"/>
    <n v="33463"/>
    <n v="0"/>
    <n v="0"/>
    <n v="0"/>
    <n v="0"/>
  </r>
  <r>
    <s v="ALEJANDRO DE JESUS GONZALEZ SIERRA"/>
    <x v="0"/>
    <x v="0"/>
    <x v="4"/>
    <s v="MX"/>
    <s v="Mexicano"/>
    <n v="1054"/>
    <n v="0"/>
    <n v="0"/>
    <n v="0"/>
    <n v="0"/>
  </r>
  <r>
    <s v="ALMA LYDA SAUL SOLIS"/>
    <x v="0"/>
    <x v="2"/>
    <x v="5"/>
    <s v="MX"/>
    <s v="Mexicano"/>
    <n v="0"/>
    <n v="0"/>
    <n v="0"/>
    <n v="0"/>
    <n v="3342"/>
  </r>
  <r>
    <s v="ALTA ESPECIALIDAD Y SERVICIO PHARMACY  SA DE "/>
    <x v="0"/>
    <x v="0"/>
    <x v="6"/>
    <s v="MX"/>
    <s v="Mexicano"/>
    <n v="0"/>
    <n v="0"/>
    <n v="24634"/>
    <n v="0"/>
    <n v="0"/>
  </r>
  <r>
    <s v="ANA ELENA PEREZ VERDIN"/>
    <x v="0"/>
    <x v="1"/>
    <x v="7"/>
    <s v="MX"/>
    <s v="Mexicano"/>
    <n v="0"/>
    <n v="0"/>
    <n v="0"/>
    <n v="762"/>
    <n v="0"/>
  </r>
  <r>
    <s v="ANA MARIA MENDOZA CORTES"/>
    <x v="0"/>
    <x v="0"/>
    <x v="8"/>
    <s v="MX"/>
    <s v="Mexicano"/>
    <n v="2504"/>
    <n v="0"/>
    <n v="0"/>
    <n v="0"/>
    <n v="0"/>
  </r>
  <r>
    <s v="ANA OLIVIA CORTES FLORES"/>
    <x v="0"/>
    <x v="1"/>
    <x v="9"/>
    <s v="MX"/>
    <s v="Mexicano"/>
    <n v="0"/>
    <n v="0"/>
    <n v="0"/>
    <n v="280000"/>
    <n v="0"/>
  </r>
  <r>
    <s v="ANDREA ELIZABETH SALCIDO DIAZ"/>
    <x v="0"/>
    <x v="0"/>
    <x v="10"/>
    <s v="MX"/>
    <s v="Mexicano"/>
    <n v="8970"/>
    <n v="0"/>
    <n v="0"/>
    <n v="0"/>
    <n v="0"/>
  </r>
  <r>
    <s v="ASSETS PURE LEASING"/>
    <x v="0"/>
    <x v="0"/>
    <x v="11"/>
    <s v="MX"/>
    <s v="Mexicano"/>
    <n v="14850"/>
    <n v="0"/>
    <n v="0"/>
    <n v="0"/>
    <n v="0"/>
  </r>
  <r>
    <s v="Ab&amp;c Leasing de Mexico SAPI de CV"/>
    <x v="0"/>
    <x v="0"/>
    <x v="12"/>
    <s v="MX"/>
    <s v="Mexicano"/>
    <n v="55541"/>
    <n v="0"/>
    <n v="0"/>
    <n v="0"/>
    <n v="0"/>
  </r>
  <r>
    <s v="B BRAUN MEDICAL DE MEXICO SA DE CV"/>
    <x v="0"/>
    <x v="0"/>
    <x v="13"/>
    <s v="MX"/>
    <s v="Mexicano"/>
    <n v="88806"/>
    <n v="0"/>
    <n v="0"/>
    <n v="0"/>
    <n v="0"/>
  </r>
  <r>
    <s v="BALANCE URBANO CONTROL DE PLAGAS SA DE CV"/>
    <x v="0"/>
    <x v="0"/>
    <x v="14"/>
    <s v="MX"/>
    <s v="Mexicano"/>
    <n v="3502"/>
    <n v="0"/>
    <n v="0"/>
    <n v="0"/>
    <n v="0"/>
  </r>
  <r>
    <s v="BANCO ACTINVER SA INSTITUCION DE BANCA MULTIP"/>
    <x v="0"/>
    <x v="0"/>
    <x v="15"/>
    <s v="MX"/>
    <s v="Mexicano"/>
    <n v="472"/>
    <n v="0"/>
    <n v="0"/>
    <n v="0"/>
    <n v="0"/>
  </r>
  <r>
    <s v="BANCO VE POR MAS SA INSTITUCION DE BANCA MULT"/>
    <x v="0"/>
    <x v="0"/>
    <x v="16"/>
    <s v="MX"/>
    <s v="Mexicano"/>
    <n v="5110"/>
    <n v="0"/>
    <n v="0"/>
    <n v="0"/>
    <n v="0"/>
  </r>
  <r>
    <s v="BANREGIO GRUPO FINANCIERO SAB DE CV"/>
    <x v="0"/>
    <x v="0"/>
    <x v="17"/>
    <s v="MX"/>
    <s v="Mexicano"/>
    <n v="6608"/>
    <n v="0"/>
    <n v="0"/>
    <n v="0"/>
    <n v="0"/>
  </r>
  <r>
    <s v="BARRETO SERVICIOS PROFESIONALES"/>
    <x v="0"/>
    <x v="0"/>
    <x v="18"/>
    <s v="MX"/>
    <s v="Mexicano"/>
    <n v="38935"/>
    <n v="0"/>
    <n v="0"/>
    <n v="0"/>
    <n v="0"/>
  </r>
  <r>
    <s v="BEMET"/>
    <x v="0"/>
    <x v="0"/>
    <x v="19"/>
    <s v="MX"/>
    <s v="Mexicano"/>
    <n v="6998"/>
    <n v="0"/>
    <n v="0"/>
    <n v="0"/>
    <n v="0"/>
  </r>
  <r>
    <s v="BENJAMIN RUIZ ALVAREZ"/>
    <x v="0"/>
    <x v="2"/>
    <x v="20"/>
    <s v="MX"/>
    <s v="Mexicano"/>
    <n v="50609"/>
    <n v="0"/>
    <n v="0"/>
    <n v="0"/>
    <n v="5398"/>
  </r>
  <r>
    <s v="BREWS &amp; BITES CAFE"/>
    <x v="0"/>
    <x v="0"/>
    <x v="21"/>
    <s v="MX"/>
    <s v="Mexicano"/>
    <n v="24935"/>
    <n v="0"/>
    <n v="0"/>
    <n v="0"/>
    <n v="0"/>
  </r>
  <r>
    <s v="Banco Santander Mexico SA"/>
    <x v="0"/>
    <x v="0"/>
    <x v="22"/>
    <s v="MX"/>
    <s v="Mexicano"/>
    <n v="30718"/>
    <n v="0"/>
    <n v="0"/>
    <n v="0"/>
    <n v="0"/>
  </r>
  <r>
    <s v="Brenda Cristina Marquez Gutierrez"/>
    <x v="0"/>
    <x v="0"/>
    <x v="23"/>
    <s v="MX"/>
    <s v="Mexicano"/>
    <n v="8620"/>
    <n v="0"/>
    <n v="0"/>
    <n v="0"/>
    <n v="0"/>
  </r>
  <r>
    <s v="CAB PHARMA SA DE CV"/>
    <x v="0"/>
    <x v="0"/>
    <x v="24"/>
    <s v="MX"/>
    <s v="Mexicano"/>
    <n v="3296"/>
    <n v="0"/>
    <n v="22189"/>
    <n v="0"/>
    <n v="0"/>
  </r>
  <r>
    <s v="CARBON LABS MEXICO"/>
    <x v="0"/>
    <x v="0"/>
    <x v="25"/>
    <s v="MX"/>
    <s v="Mexicano"/>
    <n v="4600"/>
    <n v="0"/>
    <n v="0"/>
    <n v="0"/>
    <n v="0"/>
  </r>
  <r>
    <s v="CARLOS JOSE ZULOAGA FERNANDEZ DEL VALLE"/>
    <x v="0"/>
    <x v="1"/>
    <x v="26"/>
    <s v="MX"/>
    <s v="Mexicano"/>
    <n v="0"/>
    <n v="0"/>
    <n v="0"/>
    <n v="467593"/>
    <n v="0"/>
  </r>
  <r>
    <s v="CARMEN GUADALUPE BERMUDEZ BARRIENTOS"/>
    <x v="0"/>
    <x v="1"/>
    <x v="27"/>
    <s v="MX"/>
    <s v="Mexicano"/>
    <n v="0"/>
    <n v="0"/>
    <n v="0"/>
    <n v="58941"/>
    <n v="0"/>
  </r>
  <r>
    <s v="CELIA GUADALUPE GONZALEZ MONTES"/>
    <x v="0"/>
    <x v="0"/>
    <x v="28"/>
    <s v="MX"/>
    <s v="Mexicano"/>
    <n v="2700"/>
    <n v="0"/>
    <n v="0"/>
    <n v="0"/>
    <n v="0"/>
  </r>
  <r>
    <s v="CLINIC &amp; BIOMEDIC CONSULTING"/>
    <x v="0"/>
    <x v="0"/>
    <x v="29"/>
    <s v="MX"/>
    <s v="Mexicano"/>
    <n v="210548"/>
    <n v="0"/>
    <n v="0"/>
    <n v="0"/>
    <n v="0"/>
  </r>
  <r>
    <s v="CLINICA PARA SOPORTE DEL PACIENTE CON DOLOR S"/>
    <x v="0"/>
    <x v="0"/>
    <x v="30"/>
    <s v="MX"/>
    <s v="Mexicano"/>
    <n v="0"/>
    <n v="0"/>
    <n v="130"/>
    <n v="0"/>
    <n v="0"/>
  </r>
  <r>
    <s v="COI CENTRO ONCOLOGICO INTERNACIONAL"/>
    <x v="0"/>
    <x v="0"/>
    <x v="31"/>
    <s v="MX"/>
    <s v="Mexicano"/>
    <n v="28736"/>
    <n v="0"/>
    <n v="0"/>
    <n v="0"/>
    <n v="0"/>
  </r>
  <r>
    <s v="COMERCIALIZADORA DE MEDICAMENTOS Y MATERIALE "/>
    <x v="0"/>
    <x v="0"/>
    <x v="32"/>
    <s v="MX"/>
    <s v="Mexicano"/>
    <n v="0"/>
    <n v="0"/>
    <n v="285376"/>
    <n v="0"/>
    <n v="0"/>
  </r>
  <r>
    <s v="COMERCIALIZADORA FRIARTICO"/>
    <x v="0"/>
    <x v="0"/>
    <x v="33"/>
    <s v="MX"/>
    <s v="Mexicano"/>
    <n v="22950"/>
    <n v="0"/>
    <n v="0"/>
    <n v="0"/>
    <n v="0"/>
  </r>
  <r>
    <s v="COMERCIALIZADORA MAILO CASTILLO"/>
    <x v="0"/>
    <x v="0"/>
    <x v="34"/>
    <s v="MX"/>
    <s v="Mexicano"/>
    <n v="0"/>
    <n v="0"/>
    <n v="403"/>
    <n v="0"/>
    <n v="0"/>
  </r>
  <r>
    <s v="COMISION FEDERAL DE ELECTRICIDAD"/>
    <x v="0"/>
    <x v="0"/>
    <x v="35"/>
    <s v="MX"/>
    <s v="Mexicano"/>
    <n v="18760"/>
    <n v="0"/>
    <n v="0"/>
    <n v="0"/>
    <n v="0"/>
  </r>
  <r>
    <s v="COMPUCAD SA DE CV"/>
    <x v="0"/>
    <x v="0"/>
    <x v="36"/>
    <s v="MX"/>
    <s v="Mexicano"/>
    <n v="102362"/>
    <n v="0"/>
    <n v="0"/>
    <n v="0"/>
    <n v="0"/>
  </r>
  <r>
    <s v="Concesionaria Vuela Compañia de Aviacion SAPI"/>
    <x v="0"/>
    <x v="0"/>
    <x v="37"/>
    <s v="MX"/>
    <s v="Mexicano"/>
    <n v="1738"/>
    <n v="0"/>
    <n v="4"/>
    <n v="0"/>
    <n v="0"/>
  </r>
  <r>
    <s v="DANIEL ALEJANDRO GARCIA PADILLA"/>
    <x v="0"/>
    <x v="1"/>
    <x v="38"/>
    <s v="MX"/>
    <s v="Mexicano"/>
    <n v="0"/>
    <n v="0"/>
    <n v="0"/>
    <n v="150783"/>
    <n v="0"/>
  </r>
  <r>
    <s v="DAYSTON CONSULTORES"/>
    <x v="0"/>
    <x v="0"/>
    <x v="39"/>
    <s v="MX"/>
    <s v="Mexicano"/>
    <n v="60000"/>
    <n v="0"/>
    <n v="0"/>
    <n v="0"/>
    <n v="0"/>
  </r>
  <r>
    <s v="DIMSA DISTRIBUIDORA DE MEDICAMENTOS SA DE CV"/>
    <x v="0"/>
    <x v="0"/>
    <x v="40"/>
    <s v="MX"/>
    <s v="Mexicano"/>
    <n v="0"/>
    <n v="0"/>
    <n v="18245"/>
    <n v="0"/>
    <n v="0"/>
  </r>
  <r>
    <s v="DISTRIBUCION E INNOVACION EN MEDICINAS Y EQUI"/>
    <x v="0"/>
    <x v="0"/>
    <x v="41"/>
    <s v="MX"/>
    <s v="Mexicano"/>
    <n v="0"/>
    <n v="0"/>
    <n v="1579481"/>
    <n v="0"/>
    <n v="0"/>
  </r>
  <r>
    <s v="Distribucion Especializada de Medicamentos SA"/>
    <x v="0"/>
    <x v="0"/>
    <x v="42"/>
    <s v="MX"/>
    <s v="Mexicano"/>
    <n v="0"/>
    <n v="0"/>
    <n v="1617750"/>
    <n v="0"/>
    <n v="0"/>
  </r>
  <r>
    <s v="ECOLIMPRO SA DE CV"/>
    <x v="0"/>
    <x v="0"/>
    <x v="43"/>
    <s v="MX"/>
    <s v="Mexicano"/>
    <n v="2086"/>
    <n v="0"/>
    <n v="0"/>
    <n v="0"/>
    <n v="0"/>
  </r>
  <r>
    <s v="EDENRED MEXICO"/>
    <x v="0"/>
    <x v="0"/>
    <x v="44"/>
    <s v="MX"/>
    <s v="Mexicano"/>
    <n v="2681"/>
    <n v="0"/>
    <n v="0"/>
    <n v="0"/>
    <n v="0"/>
  </r>
  <r>
    <s v="EDER ARAIZA ALVARADO"/>
    <x v="0"/>
    <x v="1"/>
    <x v="45"/>
    <s v="MX"/>
    <s v="Mexicano"/>
    <n v="30000"/>
    <n v="0"/>
    <n v="0"/>
    <n v="42644"/>
    <n v="3200"/>
  </r>
  <r>
    <s v="EDUARDO DANIEL BARRERA GUTIERREZ"/>
    <x v="0"/>
    <x v="0"/>
    <x v="46"/>
    <s v="MX"/>
    <s v="Mexicano"/>
    <n v="43510"/>
    <n v="0"/>
    <n v="0"/>
    <n v="0"/>
    <n v="0"/>
  </r>
  <r>
    <s v="ENDOMEDICA SA DE CV"/>
    <x v="0"/>
    <x v="0"/>
    <x v="47"/>
    <s v="MX"/>
    <s v="Mexicano"/>
    <n v="4618"/>
    <n v="0"/>
    <n v="0"/>
    <n v="0"/>
    <n v="0"/>
  </r>
  <r>
    <s v="ESPECIALIDADES MEDICOBIOLOGICAS DE MEXICO"/>
    <x v="0"/>
    <x v="0"/>
    <x v="48"/>
    <s v="MX"/>
    <s v="Mexicano"/>
    <n v="0"/>
    <n v="0"/>
    <n v="57000"/>
    <n v="0"/>
    <n v="0"/>
  </r>
  <r>
    <s v="FARMACEUTICOS VIDA SA DE CV"/>
    <x v="0"/>
    <x v="0"/>
    <x v="49"/>
    <s v="MX"/>
    <s v="Mexicano"/>
    <n v="0"/>
    <n v="0"/>
    <n v="591565"/>
    <n v="0"/>
    <n v="0"/>
  </r>
  <r>
    <s v="FARMACOPEA DE LOS ESTADOS UNIDOS MEXICANOS AC"/>
    <x v="0"/>
    <x v="0"/>
    <x v="50"/>
    <s v="MX"/>
    <s v="Mexicano"/>
    <n v="0"/>
    <n v="0"/>
    <n v="1920"/>
    <n v="0"/>
    <n v="0"/>
  </r>
  <r>
    <s v="FARMACOS ESPECIALIZADOS SA DE CV"/>
    <x v="0"/>
    <x v="0"/>
    <x v="51"/>
    <s v="MX"/>
    <s v="Mexicano"/>
    <n v="0"/>
    <n v="0"/>
    <n v="595780"/>
    <n v="0"/>
    <n v="0"/>
  </r>
  <r>
    <s v="FELIPE DE JESUS SUAREZ CARDENAS"/>
    <x v="0"/>
    <x v="0"/>
    <x v="52"/>
    <s v="MX"/>
    <s v="Mexicano"/>
    <n v="4044"/>
    <n v="0"/>
    <n v="0"/>
    <n v="0"/>
    <n v="0"/>
  </r>
  <r>
    <s v="GABRIELA GARCIA MENDOZA"/>
    <x v="0"/>
    <x v="0"/>
    <x v="53"/>
    <s v="MX"/>
    <s v="Mexicano"/>
    <n v="3017"/>
    <n v="0"/>
    <n v="0"/>
    <n v="0"/>
    <n v="0"/>
  </r>
  <r>
    <s v="GLORIA MATILDE SERRANO GONZALEZ"/>
    <x v="0"/>
    <x v="0"/>
    <x v="54"/>
    <s v="MX"/>
    <s v="Mexicano"/>
    <n v="0"/>
    <n v="0"/>
    <n v="2471"/>
    <n v="0"/>
    <n v="0"/>
  </r>
  <r>
    <s v="GLORIA PRISCILA ROSALES GOMEZ"/>
    <x v="0"/>
    <x v="0"/>
    <x v="55"/>
    <s v="MX"/>
    <s v="Mexicano"/>
    <n v="63321"/>
    <n v="0"/>
    <n v="0"/>
    <n v="0"/>
    <n v="0"/>
  </r>
  <r>
    <s v="GOOGLE OPERACIONES DE MEXICO"/>
    <x v="0"/>
    <x v="0"/>
    <x v="56"/>
    <s v="MX"/>
    <s v="Mexicano"/>
    <n v="7250"/>
    <n v="0"/>
    <n v="0"/>
    <n v="0"/>
    <n v="0"/>
  </r>
  <r>
    <s v="GRECIA ELIZABETH VIVEROS MONTAÑO"/>
    <x v="0"/>
    <x v="0"/>
    <x v="57"/>
    <s v="MX"/>
    <s v="Mexicano"/>
    <n v="16655"/>
    <n v="0"/>
    <n v="0"/>
    <n v="0"/>
    <n v="0"/>
  </r>
  <r>
    <s v="GRUPO DYSBA"/>
    <x v="0"/>
    <x v="0"/>
    <x v="58"/>
    <s v="MX"/>
    <s v="Mexicano"/>
    <n v="67594"/>
    <n v="0"/>
    <n v="0"/>
    <n v="0"/>
    <n v="0"/>
  </r>
  <r>
    <s v="GRUPO EMEQUR SA DE CV"/>
    <x v="0"/>
    <x v="0"/>
    <x v="59"/>
    <s v="MX"/>
    <s v="Mexicano"/>
    <n v="7268"/>
    <n v="0"/>
    <n v="0"/>
    <n v="0"/>
    <n v="0"/>
  </r>
  <r>
    <s v="GRUPO FERRETERIA CALZADA SA DE CV"/>
    <x v="0"/>
    <x v="0"/>
    <x v="60"/>
    <s v="MX"/>
    <s v="Mexicano"/>
    <n v="288"/>
    <n v="0"/>
    <n v="0"/>
    <n v="0"/>
    <n v="0"/>
  </r>
  <r>
    <s v="GRUPO UNIMEDICAL SOLUCIONES SA DE CV"/>
    <x v="0"/>
    <x v="0"/>
    <x v="61"/>
    <s v="MX"/>
    <s v="Mexicano"/>
    <n v="0"/>
    <n v="0"/>
    <n v="979841"/>
    <n v="0"/>
    <n v="0"/>
  </r>
  <r>
    <s v="HECTOR DANIEL NAVARRO AGUILAR"/>
    <x v="0"/>
    <x v="0"/>
    <x v="62"/>
    <s v="MX"/>
    <s v="Mexicano"/>
    <n v="1200"/>
    <n v="0"/>
    <n v="0"/>
    <n v="0"/>
    <n v="0"/>
  </r>
  <r>
    <s v="HOSPITAL REAL SAN JOSE VALLE REAL"/>
    <x v="0"/>
    <x v="0"/>
    <x v="63"/>
    <s v="MX"/>
    <s v="Mexicano"/>
    <n v="0"/>
    <n v="0"/>
    <n v="0"/>
    <n v="5020"/>
    <n v="0"/>
  </r>
  <r>
    <s v="IGNACIO MIGUEL FUENTES MENDEZ"/>
    <x v="0"/>
    <x v="1"/>
    <x v="64"/>
    <s v="MX"/>
    <s v="Mexicano"/>
    <n v="0"/>
    <n v="0"/>
    <n v="0"/>
    <n v="676860"/>
    <n v="0"/>
  </r>
  <r>
    <s v="Iris Chantal Carrillo Lopez"/>
    <x v="0"/>
    <x v="1"/>
    <x v="65"/>
    <s v="MX"/>
    <s v="Mexicano"/>
    <n v="19000"/>
    <n v="0"/>
    <n v="0"/>
    <n v="0"/>
    <n v="2027"/>
  </r>
  <r>
    <s v="JAIME CORONA RIVERA"/>
    <x v="0"/>
    <x v="1"/>
    <x v="66"/>
    <s v="MX"/>
    <s v="Mexicano"/>
    <n v="0"/>
    <n v="0"/>
    <n v="0"/>
    <n v="280000"/>
    <n v="0"/>
  </r>
  <r>
    <s v="JESSICA GABRIELA ZAVALZA PASILLAS"/>
    <x v="0"/>
    <x v="1"/>
    <x v="67"/>
    <s v="MX"/>
    <s v="Mexicano"/>
    <n v="4800"/>
    <n v="0"/>
    <n v="0"/>
    <n v="0"/>
    <n v="512"/>
  </r>
  <r>
    <s v="JESUS DANIEL GONZALEZ CAMACHO"/>
    <x v="0"/>
    <x v="0"/>
    <x v="68"/>
    <s v="MX"/>
    <s v="Mexicano"/>
    <n v="0"/>
    <n v="0"/>
    <n v="0"/>
    <n v="4320"/>
    <n v="0"/>
  </r>
  <r>
    <s v="JORGE EMILIO SANCHEZ VALVERDE"/>
    <x v="0"/>
    <x v="1"/>
    <x v="69"/>
    <s v="MX"/>
    <s v="Mexicano"/>
    <n v="20000"/>
    <n v="0"/>
    <n v="0"/>
    <n v="0"/>
    <n v="2133"/>
  </r>
  <r>
    <s v="JOSE ALEJANDRO PADILLA ORTEGA"/>
    <x v="0"/>
    <x v="0"/>
    <x v="70"/>
    <s v="MX"/>
    <s v="Mexicano"/>
    <n v="0"/>
    <n v="0"/>
    <n v="0"/>
    <n v="113252"/>
    <n v="0"/>
  </r>
  <r>
    <s v="JOSE JOB LAGUNES MUÑOZ"/>
    <x v="0"/>
    <x v="1"/>
    <x v="71"/>
    <s v="MX"/>
    <s v="Mexicano"/>
    <n v="0"/>
    <n v="0"/>
    <n v="0"/>
    <n v="91240"/>
    <n v="0"/>
  </r>
  <r>
    <s v="JOSE ZERMEÑO VILLASEÑOR"/>
    <x v="0"/>
    <x v="2"/>
    <x v="72"/>
    <s v="MX"/>
    <s v="Mexicano"/>
    <n v="39178"/>
    <n v="0"/>
    <n v="0"/>
    <n v="0"/>
    <n v="4180"/>
  </r>
  <r>
    <s v="LIZBETH ALEJANDRA GARCIA ESPINOSA"/>
    <x v="0"/>
    <x v="1"/>
    <x v="73"/>
    <s v="MX"/>
    <s v="Mexicano"/>
    <n v="0"/>
    <n v="0"/>
    <n v="0"/>
    <n v="63538"/>
    <n v="0"/>
  </r>
  <r>
    <s v="LUIS ALBERTO FLORES PAYAN"/>
    <x v="0"/>
    <x v="0"/>
    <x v="74"/>
    <s v="MX"/>
    <s v="Mexicano"/>
    <n v="25272"/>
    <n v="0"/>
    <n v="0"/>
    <n v="0"/>
    <n v="0"/>
  </r>
  <r>
    <s v="LUIS EDUARDO ROSARIO ECHEVERRIA"/>
    <x v="0"/>
    <x v="0"/>
    <x v="75"/>
    <s v="MX"/>
    <s v="Mexicano"/>
    <n v="280000"/>
    <n v="0"/>
    <n v="0"/>
    <n v="0"/>
    <n v="29867"/>
  </r>
  <r>
    <s v="LUZ TERESA VALENZUELA LOPEZ"/>
    <x v="0"/>
    <x v="1"/>
    <x v="76"/>
    <s v="MX"/>
    <s v="Mexicano"/>
    <n v="0"/>
    <n v="0"/>
    <n v="0"/>
    <n v="6059"/>
    <n v="0"/>
  </r>
  <r>
    <s v="MA GUADALUPE FLORES GARCIA"/>
    <x v="0"/>
    <x v="0"/>
    <x v="77"/>
    <s v="MX"/>
    <s v="Mexicano"/>
    <n v="85063"/>
    <n v="0"/>
    <n v="0"/>
    <n v="0"/>
    <n v="0"/>
  </r>
  <r>
    <s v="MACRO FARMACIAS SA DE CV"/>
    <x v="0"/>
    <x v="0"/>
    <x v="78"/>
    <s v="MX"/>
    <s v="Mexicano"/>
    <n v="0"/>
    <n v="0"/>
    <n v="4091811"/>
    <n v="0"/>
    <n v="0"/>
  </r>
  <r>
    <s v="MARCO ANTONIO BARBA VAZQUEZ"/>
    <x v="0"/>
    <x v="1"/>
    <x v="79"/>
    <s v="MX"/>
    <s v="Mexicano"/>
    <n v="75000"/>
    <n v="0"/>
    <n v="0"/>
    <n v="0"/>
    <n v="8000"/>
  </r>
  <r>
    <s v="MARIA DEL CARMEN CANAL ESTEVEZ"/>
    <x v="0"/>
    <x v="1"/>
    <x v="80"/>
    <s v="MX"/>
    <s v="Mexicano"/>
    <n v="19215"/>
    <n v="0"/>
    <n v="0"/>
    <n v="0"/>
    <n v="2050"/>
  </r>
  <r>
    <s v="MARIA ENRIQUETA NUÑEZ NUÑEZ"/>
    <x v="0"/>
    <x v="1"/>
    <x v="81"/>
    <s v="MX"/>
    <s v="Mexicano"/>
    <n v="0"/>
    <n v="0"/>
    <n v="0"/>
    <n v="10622"/>
    <n v="0"/>
  </r>
  <r>
    <s v="MARIA TERESA ENCARNACION SALINAS"/>
    <x v="0"/>
    <x v="0"/>
    <x v="82"/>
    <s v="MX"/>
    <s v="Mexicano"/>
    <n v="4652"/>
    <n v="0"/>
    <n v="0"/>
    <n v="0"/>
    <n v="0"/>
  </r>
  <r>
    <s v="MARIA TERESA MARTINEZ DE LA CRUZ"/>
    <x v="0"/>
    <x v="1"/>
    <x v="83"/>
    <s v="MX"/>
    <s v="Mexicano"/>
    <n v="20000"/>
    <n v="0"/>
    <n v="0"/>
    <n v="0"/>
    <n v="2133"/>
  </r>
  <r>
    <s v="MARISOL VELAZQUEZ MARTIN DEL CAMPO"/>
    <x v="0"/>
    <x v="1"/>
    <x v="84"/>
    <s v="MX"/>
    <s v="Mexicano"/>
    <n v="11250"/>
    <n v="0"/>
    <n v="0"/>
    <n v="0"/>
    <n v="1200"/>
  </r>
  <r>
    <s v="MEDICA MXT SA DE CV"/>
    <x v="0"/>
    <x v="0"/>
    <x v="85"/>
    <s v="MX"/>
    <s v="Mexicano"/>
    <n v="0"/>
    <n v="0"/>
    <n v="35600"/>
    <n v="0"/>
    <n v="0"/>
  </r>
  <r>
    <s v="MEGACABLE COMUNICACIONES DE MEXICO"/>
    <x v="0"/>
    <x v="0"/>
    <x v="86"/>
    <s v="MX"/>
    <s v="Mexicano"/>
    <n v="21434"/>
    <n v="0"/>
    <n v="0"/>
    <n v="0"/>
    <n v="0"/>
  </r>
  <r>
    <s v="MEXICO LADRILLO Y DISEÑO"/>
    <x v="0"/>
    <x v="2"/>
    <x v="87"/>
    <s v="MX"/>
    <s v="Mexicano"/>
    <n v="3032"/>
    <n v="0"/>
    <n v="0"/>
    <n v="0"/>
    <n v="0"/>
  </r>
  <r>
    <s v="MIGUEL ANGEL HUERTA GUTIERREZ"/>
    <x v="0"/>
    <x v="0"/>
    <x v="88"/>
    <s v="MX"/>
    <s v="Mexicano"/>
    <n v="3364"/>
    <n v="0"/>
    <n v="0"/>
    <n v="0"/>
    <n v="0"/>
  </r>
  <r>
    <s v="MIRANDA MORTERA Y COMPAÑIA SA DE CV"/>
    <x v="0"/>
    <x v="0"/>
    <x v="89"/>
    <s v="MX"/>
    <s v="Mexicano"/>
    <n v="397"/>
    <n v="0"/>
    <n v="0"/>
    <n v="0"/>
    <n v="0"/>
  </r>
  <r>
    <s v="MIRIAM FABIOLA BORBOA GUERRERO"/>
    <x v="0"/>
    <x v="0"/>
    <x v="90"/>
    <s v="MX"/>
    <s v="Mexicano"/>
    <n v="3845"/>
    <n v="0"/>
    <n v="0"/>
    <n v="0"/>
    <n v="0"/>
  </r>
  <r>
    <s v="MOMENTUL"/>
    <x v="0"/>
    <x v="0"/>
    <x v="91"/>
    <s v="MX"/>
    <s v="Mexicano"/>
    <n v="28000"/>
    <n v="0"/>
    <n v="0"/>
    <n v="0"/>
    <n v="0"/>
  </r>
  <r>
    <s v="Mantenimiento Cien Ladrillos SA de CV"/>
    <x v="0"/>
    <x v="0"/>
    <x v="92"/>
    <s v="MX"/>
    <s v="Mexicano"/>
    <n v="50513"/>
    <n v="0"/>
    <n v="0"/>
    <n v="0"/>
    <n v="0"/>
  </r>
  <r>
    <s v="NADRO SAPI DE CV"/>
    <x v="0"/>
    <x v="0"/>
    <x v="93"/>
    <s v="MX"/>
    <s v="Mexicano"/>
    <n v="0"/>
    <n v="0"/>
    <n v="71384"/>
    <n v="0"/>
    <n v="0"/>
  </r>
  <r>
    <s v="NAROA SERVICIOS"/>
    <x v="0"/>
    <x v="0"/>
    <x v="94"/>
    <s v="MX"/>
    <s v="Mexicano"/>
    <n v="6847"/>
    <n v="0"/>
    <n v="0"/>
    <n v="0"/>
    <n v="0"/>
  </r>
  <r>
    <s v="NAYELLI GARCIA JIMENEZ"/>
    <x v="0"/>
    <x v="0"/>
    <x v="95"/>
    <s v="MX"/>
    <s v="Mexicano"/>
    <n v="4466"/>
    <n v="0"/>
    <n v="0"/>
    <n v="0"/>
    <n v="0"/>
  </r>
  <r>
    <s v="NETFLIX MEXICO"/>
    <x v="0"/>
    <x v="0"/>
    <x v="96"/>
    <s v="MX"/>
    <s v="Mexicano"/>
    <n v="970"/>
    <n v="0"/>
    <n v="0"/>
    <n v="0"/>
    <n v="0"/>
  </r>
  <r>
    <s v="NOEL ESAUL LUNA ROMERO"/>
    <x v="0"/>
    <x v="1"/>
    <x v="97"/>
    <s v="MX"/>
    <s v="Mexicano"/>
    <n v="0"/>
    <n v="0"/>
    <n v="0"/>
    <n v="4072"/>
    <n v="0"/>
  </r>
  <r>
    <s v="Nueva Wal Mart de Mexico S de R L de CV"/>
    <x v="0"/>
    <x v="0"/>
    <x v="98"/>
    <s v="MX"/>
    <s v="Mexicano"/>
    <n v="8482"/>
    <n v="0"/>
    <n v="4790"/>
    <n v="0"/>
    <n v="0"/>
  </r>
  <r>
    <s v="OCTAVIO ALEJANDRO FUENTES MENDEZ"/>
    <x v="0"/>
    <x v="1"/>
    <x v="99"/>
    <s v="MX"/>
    <s v="Mexicano"/>
    <n v="0"/>
    <n v="0"/>
    <n v="0"/>
    <n v="1898"/>
    <n v="0"/>
  </r>
  <r>
    <s v="OMAR ISAIAS CHAVEZ SANCHEZ"/>
    <x v="0"/>
    <x v="1"/>
    <x v="100"/>
    <s v="MX"/>
    <s v="Mexicano"/>
    <n v="0"/>
    <n v="0"/>
    <n v="0"/>
    <n v="12205"/>
    <n v="0"/>
  </r>
  <r>
    <s v="PAPELERIA OPCION SA DE CV"/>
    <x v="0"/>
    <x v="0"/>
    <x v="101"/>
    <s v="MX"/>
    <s v="Mexicano"/>
    <n v="9747"/>
    <n v="0"/>
    <n v="0"/>
    <n v="0"/>
    <n v="0"/>
  </r>
  <r>
    <s v="PAULA ANEL CABRERA GALEANA"/>
    <x v="0"/>
    <x v="0"/>
    <x v="102"/>
    <s v="MX"/>
    <s v="Mexicano"/>
    <n v="0"/>
    <n v="0"/>
    <n v="0"/>
    <n v="70000"/>
    <n v="0"/>
  </r>
  <r>
    <s v="PLATAFORMA COMERCIAL MEDICA SA DE CV"/>
    <x v="0"/>
    <x v="0"/>
    <x v="103"/>
    <s v="MX"/>
    <s v="Mexicano"/>
    <n v="1579"/>
    <n v="0"/>
    <n v="0"/>
    <n v="0"/>
    <n v="0"/>
  </r>
  <r>
    <s v="PRAXAIR MEXICO S DE R L DE C V"/>
    <x v="0"/>
    <x v="0"/>
    <x v="104"/>
    <s v="MX"/>
    <s v="Mexicano"/>
    <n v="0"/>
    <n v="0"/>
    <n v="6272"/>
    <n v="0"/>
    <n v="0"/>
  </r>
  <r>
    <s v="PROBEMEDIC DISTRIBUCIONES"/>
    <x v="0"/>
    <x v="0"/>
    <x v="105"/>
    <s v="MX"/>
    <s v="Mexicano"/>
    <n v="0"/>
    <n v="0"/>
    <n v="22050"/>
    <n v="0"/>
    <n v="0"/>
  </r>
  <r>
    <s v="Programacion Comercial Aplicada SA de CV"/>
    <x v="0"/>
    <x v="0"/>
    <x v="106"/>
    <s v="MX"/>
    <s v="Mexicano"/>
    <n v="10748"/>
    <n v="0"/>
    <n v="0"/>
    <n v="0"/>
    <n v="0"/>
  </r>
  <r>
    <s v="RAFAEL ZAVALA VEGA"/>
    <x v="0"/>
    <x v="0"/>
    <x v="107"/>
    <s v="MX"/>
    <s v="Mexicano"/>
    <n v="862"/>
    <n v="0"/>
    <n v="0"/>
    <n v="0"/>
    <n v="0"/>
  </r>
  <r>
    <s v="REDES TECNOLOGICAS DE OCCIDENTE"/>
    <x v="0"/>
    <x v="0"/>
    <x v="108"/>
    <s v="MX"/>
    <s v="Mexicano"/>
    <n v="12380"/>
    <n v="0"/>
    <n v="0"/>
    <n v="0"/>
    <n v="0"/>
  </r>
  <r>
    <s v="RENTAS CIEN LADRILLOS SA DE CV"/>
    <x v="0"/>
    <x v="2"/>
    <x v="109"/>
    <s v="MX"/>
    <s v="Mexicano"/>
    <n v="402457"/>
    <n v="0"/>
    <n v="0"/>
    <n v="0"/>
    <n v="0"/>
  </r>
  <r>
    <s v="ROSALBA SOTO PEREZ"/>
    <x v="0"/>
    <x v="1"/>
    <x v="110"/>
    <s v="MX"/>
    <s v="Mexicano"/>
    <n v="175000"/>
    <n v="0"/>
    <n v="0"/>
    <n v="0"/>
    <n v="18667"/>
  </r>
  <r>
    <s v="Radiomovil Dipsa SA de CV"/>
    <x v="0"/>
    <x v="0"/>
    <x v="111"/>
    <s v="MX"/>
    <s v="Mexicano"/>
    <n v="2646"/>
    <n v="0"/>
    <n v="0"/>
    <n v="0"/>
    <n v="0"/>
  </r>
  <r>
    <s v="SALUBOX SAPI DE CV"/>
    <x v="0"/>
    <x v="0"/>
    <x v="112"/>
    <s v="MX"/>
    <s v="Mexicano"/>
    <n v="0"/>
    <n v="0"/>
    <n v="1644065"/>
    <n v="0"/>
    <n v="0"/>
  </r>
  <r>
    <s v="SAMUEL AGREDANO PEREZ"/>
    <x v="0"/>
    <x v="1"/>
    <x v="113"/>
    <s v="MX"/>
    <s v="Mexicano"/>
    <n v="0"/>
    <n v="0"/>
    <n v="0"/>
    <n v="725"/>
    <n v="0"/>
  </r>
  <r>
    <s v="SANVITE"/>
    <x v="0"/>
    <x v="0"/>
    <x v="114"/>
    <s v="MX"/>
    <s v="Mexicano"/>
    <n v="0"/>
    <n v="0"/>
    <n v="30843"/>
    <n v="31680"/>
    <n v="0"/>
  </r>
  <r>
    <s v="SEGUROS MONTERREY NEW YORK LIFE"/>
    <x v="0"/>
    <x v="0"/>
    <x v="115"/>
    <s v="MX"/>
    <s v="Mexicano"/>
    <n v="0"/>
    <n v="0"/>
    <n v="0"/>
    <n v="42815"/>
    <n v="0"/>
  </r>
  <r>
    <s v="SERGIO IVAN GARDUÑO SANCHEZ"/>
    <x v="0"/>
    <x v="0"/>
    <x v="116"/>
    <s v="MX"/>
    <s v="Mexicano"/>
    <n v="2420"/>
    <n v="0"/>
    <n v="0"/>
    <n v="0"/>
    <n v="0"/>
  </r>
  <r>
    <s v="SERVANDO RAFAEL OROZCO RODRIGUEZ"/>
    <x v="0"/>
    <x v="0"/>
    <x v="117"/>
    <s v="MX"/>
    <s v="Mexicano"/>
    <n v="0"/>
    <n v="0"/>
    <n v="262005"/>
    <n v="0"/>
    <n v="0"/>
  </r>
  <r>
    <s v="SERVICIO MINERVA DE GUADALAJARA SA DE CV"/>
    <x v="0"/>
    <x v="0"/>
    <x v="118"/>
    <s v="MX"/>
    <s v="Mexicano"/>
    <n v="1958"/>
    <n v="0"/>
    <n v="0"/>
    <n v="0"/>
    <n v="0"/>
  </r>
  <r>
    <s v="SERVICIOS ADUANALES Y MEDICOS FARM"/>
    <x v="0"/>
    <x v="0"/>
    <x v="119"/>
    <s v="MX"/>
    <s v="Mexicano"/>
    <n v="1552"/>
    <n v="0"/>
    <n v="0"/>
    <n v="0"/>
    <n v="0"/>
  </r>
  <r>
    <s v="SERVICIOS INDUSTRIALES PARA EL MANEJO DEL MED"/>
    <x v="0"/>
    <x v="0"/>
    <x v="120"/>
    <s v="MX"/>
    <s v="Mexicano"/>
    <n v="7450"/>
    <n v="0"/>
    <n v="0"/>
    <n v="0"/>
    <n v="0"/>
  </r>
  <r>
    <s v="SILVIA EUNICE RAMIREZ ANDRADE"/>
    <x v="0"/>
    <x v="1"/>
    <x v="121"/>
    <s v="MX"/>
    <s v="Mexicano"/>
    <n v="0"/>
    <n v="0"/>
    <n v="0"/>
    <n v="1351"/>
    <n v="0"/>
  </r>
  <r>
    <s v="SISTEMA INTERMUNICIPAL DE LOS SERVICIOS DE AG"/>
    <x v="0"/>
    <x v="0"/>
    <x v="122"/>
    <s v="MX"/>
    <s v="Mexicano"/>
    <n v="6274"/>
    <n v="0"/>
    <n v="0"/>
    <n v="0"/>
    <n v="0"/>
  </r>
  <r>
    <s v="TECH BUKERS"/>
    <x v="0"/>
    <x v="0"/>
    <x v="123"/>
    <s v="MX"/>
    <s v="Mexicano"/>
    <n v="10504"/>
    <n v="0"/>
    <n v="0"/>
    <n v="0"/>
    <n v="0"/>
  </r>
  <r>
    <s v="TELEFONOS DE MEXICO"/>
    <x v="0"/>
    <x v="0"/>
    <x v="124"/>
    <s v="MX"/>
    <s v="Mexicano"/>
    <n v="344"/>
    <n v="0"/>
    <n v="0"/>
    <n v="0"/>
    <n v="0"/>
  </r>
  <r>
    <s v="TOTAL BOX SA DE CV"/>
    <x v="0"/>
    <x v="0"/>
    <x v="125"/>
    <s v="MX"/>
    <s v="Mexicano"/>
    <n v="160"/>
    <n v="0"/>
    <n v="0"/>
    <n v="0"/>
    <n v="0"/>
  </r>
  <r>
    <s v="TOTAL PLAY TELECOMUNICACIONES SAPI DE CV"/>
    <x v="0"/>
    <x v="0"/>
    <x v="126"/>
    <s v="MX"/>
    <s v="Mexicano"/>
    <n v="1976"/>
    <n v="0"/>
    <n v="0"/>
    <n v="0"/>
    <n v="0"/>
  </r>
  <r>
    <s v="UNIFIN FINANCIERA SAB DE CV"/>
    <x v="0"/>
    <x v="0"/>
    <x v="127"/>
    <s v="MX"/>
    <s v="Mexicano"/>
    <n v="118560"/>
    <n v="0"/>
    <n v="0"/>
    <n v="0"/>
    <n v="0"/>
  </r>
  <r>
    <s v="VALOR 8 EMPRE5ARIAL"/>
    <x v="0"/>
    <x v="0"/>
    <x v="128"/>
    <s v="MX"/>
    <s v="Mexicano"/>
    <n v="800"/>
    <n v="0"/>
    <n v="0"/>
    <n v="0"/>
    <n v="0"/>
  </r>
  <r>
    <s v="VIVIANA FLORES PADILLA"/>
    <x v="0"/>
    <x v="1"/>
    <x v="129"/>
    <s v="MX"/>
    <s v="Mexicano"/>
    <n v="8070"/>
    <n v="0"/>
    <n v="0"/>
    <n v="0"/>
    <n v="861"/>
  </r>
  <r>
    <s v="WCD"/>
    <x v="0"/>
    <x v="0"/>
    <x v="130"/>
    <s v="MX"/>
    <s v="Mexicano"/>
    <n v="13000"/>
    <n v="0"/>
    <n v="0"/>
    <n v="0"/>
    <n v="0"/>
  </r>
  <r>
    <s v="ALTA ESPECIALIDAD Y SERVICIO PHARMACY  SA DE "/>
    <x v="0"/>
    <x v="0"/>
    <x v="6"/>
    <s v="MX"/>
    <s v="Mexicano"/>
    <n v="259"/>
    <n v="0"/>
    <n v="4398"/>
    <n v="0"/>
    <n v="0"/>
  </r>
  <r>
    <s v="ARRENDAMIENTO Y SOLUCIONES EN ACTIVOS"/>
    <x v="0"/>
    <x v="0"/>
    <x v="131"/>
    <s v="MX"/>
    <s v="Mexicano"/>
    <n v="59765"/>
    <n v="0"/>
    <n v="0"/>
    <n v="0"/>
    <n v="0"/>
  </r>
  <r>
    <s v="BEBIENDO"/>
    <x v="0"/>
    <x v="0"/>
    <x v="132"/>
    <s v="MX"/>
    <s v="Mexicano"/>
    <n v="0"/>
    <n v="0"/>
    <n v="376"/>
    <n v="0"/>
    <n v="0"/>
  </r>
  <r>
    <s v="BEMET"/>
    <x v="0"/>
    <x v="0"/>
    <x v="19"/>
    <s v="MX"/>
    <s v="Mexicano"/>
    <n v="4132"/>
    <n v="0"/>
    <n v="0"/>
    <n v="0"/>
    <n v="0"/>
  </r>
  <r>
    <s v="Banco Santander Mexico SA"/>
    <x v="0"/>
    <x v="0"/>
    <x v="22"/>
    <s v="MX"/>
    <s v="Mexicano"/>
    <n v="5521"/>
    <n v="0"/>
    <n v="0"/>
    <n v="0"/>
    <n v="0"/>
  </r>
  <r>
    <s v="CAB PHARMA SA DE CV"/>
    <x v="0"/>
    <x v="0"/>
    <x v="24"/>
    <s v="MX"/>
    <s v="Mexicano"/>
    <n v="1803"/>
    <n v="0"/>
    <n v="3511"/>
    <n v="0"/>
    <n v="0"/>
  </r>
  <r>
    <s v="CARLOS EFRAIN SERRATOS GUTIERREZ"/>
    <x v="0"/>
    <x v="0"/>
    <x v="133"/>
    <s v="MX"/>
    <s v="Mexicano"/>
    <n v="507"/>
    <n v="0"/>
    <n v="0"/>
    <n v="0"/>
    <n v="0"/>
  </r>
  <r>
    <s v="CENTRO EMPRESARIAL DE COLIMA S P"/>
    <x v="0"/>
    <x v="0"/>
    <x v="134"/>
    <s v="MX"/>
    <s v="Mexicano"/>
    <n v="0"/>
    <n v="0"/>
    <n v="0"/>
    <n v="2000"/>
    <n v="0"/>
  </r>
  <r>
    <s v="CHRISTIANE MARIELLA GUTIERREZ RIVERA"/>
    <x v="0"/>
    <x v="1"/>
    <x v="135"/>
    <s v="MX"/>
    <s v="Mexicano"/>
    <n v="300"/>
    <n v="0"/>
    <n v="0"/>
    <n v="0"/>
    <n v="32"/>
  </r>
  <r>
    <s v="COMISION FEDERAL DE ELECTRICIDAD"/>
    <x v="0"/>
    <x v="0"/>
    <x v="35"/>
    <s v="MX"/>
    <s v="Mexicano"/>
    <n v="8239"/>
    <n v="0"/>
    <n v="0"/>
    <n v="0"/>
    <n v="0"/>
  </r>
  <r>
    <s v="COMISION INTERMUNICIPAL DE AGUA POTABLE Y ALC"/>
    <x v="0"/>
    <x v="0"/>
    <x v="136"/>
    <s v="MX"/>
    <s v="Mexicano"/>
    <n v="422"/>
    <n v="0"/>
    <n v="0"/>
    <n v="0"/>
    <n v="0"/>
  </r>
  <r>
    <s v="COMPUCAD SA DE CV"/>
    <x v="0"/>
    <x v="0"/>
    <x v="36"/>
    <s v="MX"/>
    <s v="Mexicano"/>
    <n v="8155"/>
    <n v="0"/>
    <n v="0"/>
    <n v="0"/>
    <n v="0"/>
  </r>
  <r>
    <s v="DISTRIBUCION E INNOVACION EN MEDICINAS Y EQUI"/>
    <x v="0"/>
    <x v="0"/>
    <x v="41"/>
    <s v="MX"/>
    <s v="Mexicano"/>
    <n v="0"/>
    <n v="0"/>
    <n v="170600"/>
    <n v="0"/>
    <n v="0"/>
  </r>
  <r>
    <s v="DOCTORALIA MEXICO"/>
    <x v="0"/>
    <x v="0"/>
    <x v="137"/>
    <s v="MX"/>
    <s v="Mexicano"/>
    <n v="5185"/>
    <n v="0"/>
    <n v="0"/>
    <n v="0"/>
    <n v="0"/>
  </r>
  <r>
    <s v="Distribucion Especializada de Medicamentos SA"/>
    <x v="0"/>
    <x v="0"/>
    <x v="42"/>
    <s v="MX"/>
    <s v="Mexicano"/>
    <n v="0"/>
    <n v="0"/>
    <n v="87324"/>
    <n v="0"/>
    <n v="0"/>
  </r>
  <r>
    <s v="ERIKA MONTSERRAT MATA NEGRETE"/>
    <x v="0"/>
    <x v="1"/>
    <x v="138"/>
    <s v="MX"/>
    <s v="Mexicano"/>
    <n v="0"/>
    <n v="0"/>
    <n v="0"/>
    <n v="1432"/>
    <n v="0"/>
  </r>
  <r>
    <s v="FJH HOTELEROS"/>
    <x v="0"/>
    <x v="0"/>
    <x v="139"/>
    <s v="MX"/>
    <s v="Mexicano"/>
    <n v="4200"/>
    <n v="0"/>
    <n v="0"/>
    <n v="0"/>
    <n v="0"/>
  </r>
  <r>
    <s v="FJM GRUPO EMPRESARIAL"/>
    <x v="0"/>
    <x v="0"/>
    <x v="140"/>
    <s v="MX"/>
    <s v="Mexicano"/>
    <n v="34880"/>
    <n v="0"/>
    <n v="0"/>
    <n v="0"/>
    <n v="0"/>
  </r>
  <r>
    <s v="GONZALO MIGUEL RODRIGUEZ RIVEROS"/>
    <x v="0"/>
    <x v="1"/>
    <x v="141"/>
    <s v="MX"/>
    <s v="Mexicano"/>
    <n v="0"/>
    <n v="0"/>
    <n v="0"/>
    <n v="12159"/>
    <n v="0"/>
  </r>
  <r>
    <s v="GRUPO EMEQUR SA DE CV"/>
    <x v="0"/>
    <x v="0"/>
    <x v="59"/>
    <s v="MX"/>
    <s v="Mexicano"/>
    <n v="191"/>
    <n v="0"/>
    <n v="0"/>
    <n v="0"/>
    <n v="0"/>
  </r>
  <r>
    <s v="HOME DEPOT MEXICO S DE RL DE CV"/>
    <x v="0"/>
    <x v="0"/>
    <x v="142"/>
    <s v="MX"/>
    <s v="Mexicano"/>
    <n v="349"/>
    <n v="0"/>
    <n v="0"/>
    <n v="0"/>
    <n v="0"/>
  </r>
  <r>
    <s v="JORGE AHUMADA VENTURA"/>
    <x v="0"/>
    <x v="0"/>
    <x v="143"/>
    <s v="MX"/>
    <s v="Mexicano"/>
    <n v="720"/>
    <n v="0"/>
    <n v="0"/>
    <n v="0"/>
    <n v="0"/>
  </r>
  <r>
    <s v="LIZETTE ALEJANDRA GALLEGOS SALMERON"/>
    <x v="0"/>
    <x v="1"/>
    <x v="144"/>
    <s v="MX"/>
    <s v="Mexicano"/>
    <n v="1800"/>
    <n v="0"/>
    <n v="0"/>
    <n v="0"/>
    <n v="192"/>
  </r>
  <r>
    <s v="LUCIO ALVAREZ IGLESIAS"/>
    <x v="0"/>
    <x v="2"/>
    <x v="145"/>
    <s v="MX"/>
    <s v="Mexicano"/>
    <n v="82000"/>
    <n v="0"/>
    <n v="0"/>
    <n v="0"/>
    <n v="8749"/>
  </r>
  <r>
    <s v="MA DE LOS ANGELES TRUJILLO REYES"/>
    <x v="0"/>
    <x v="0"/>
    <x v="146"/>
    <s v="MX"/>
    <s v="Mexicano"/>
    <n v="1558"/>
    <n v="0"/>
    <n v="0"/>
    <n v="0"/>
    <n v="0"/>
  </r>
  <r>
    <s v="MANUEL ALEJANDRO RESENDIZ LOPEZ"/>
    <x v="0"/>
    <x v="0"/>
    <x v="147"/>
    <s v="MX"/>
    <s v="Mexicano"/>
    <n v="1107"/>
    <n v="0"/>
    <n v="0"/>
    <n v="7852"/>
    <n v="0"/>
  </r>
  <r>
    <s v="MARIA TERESA ENCARNACION SALINAS"/>
    <x v="0"/>
    <x v="0"/>
    <x v="82"/>
    <s v="MX"/>
    <s v="Mexicano"/>
    <n v="8700"/>
    <n v="0"/>
    <n v="0"/>
    <n v="0"/>
    <n v="0"/>
  </r>
  <r>
    <s v="MIGUEL ANGEL SOLORZANO RODRIGUEZ"/>
    <x v="0"/>
    <x v="1"/>
    <x v="148"/>
    <s v="MX"/>
    <s v="Mexicano"/>
    <n v="0"/>
    <n v="0"/>
    <n v="0"/>
    <n v="1254"/>
    <n v="0"/>
  </r>
  <r>
    <s v="MOMENTUL"/>
    <x v="0"/>
    <x v="0"/>
    <x v="91"/>
    <s v="MX"/>
    <s v="Mexicano"/>
    <n v="28000"/>
    <n v="0"/>
    <n v="0"/>
    <n v="0"/>
    <n v="0"/>
  </r>
  <r>
    <s v="NANCY PAULETTE MARTIN DEL CAMPO DEL TORO"/>
    <x v="0"/>
    <x v="0"/>
    <x v="149"/>
    <s v="MX"/>
    <s v="Mexicano"/>
    <n v="1012"/>
    <n v="0"/>
    <n v="0"/>
    <n v="0"/>
    <n v="0"/>
  </r>
  <r>
    <s v="Nueva Wal Mart de Mexico S de R L de CV"/>
    <x v="0"/>
    <x v="0"/>
    <x v="98"/>
    <s v="MX"/>
    <s v="Mexicano"/>
    <n v="2808"/>
    <n v="0"/>
    <n v="2482"/>
    <n v="0"/>
    <n v="0"/>
  </r>
  <r>
    <s v="OFFICE DEPOT DE MEXICO SA DE CV"/>
    <x v="0"/>
    <x v="0"/>
    <x v="150"/>
    <s v="MX"/>
    <s v="Mexicano"/>
    <n v="3053"/>
    <n v="0"/>
    <n v="0"/>
    <n v="0"/>
    <n v="0"/>
  </r>
  <r>
    <s v="PRIME CARE HUB INOVA"/>
    <x v="0"/>
    <x v="1"/>
    <x v="151"/>
    <s v="MX"/>
    <s v="Mexicano"/>
    <n v="0"/>
    <n v="0"/>
    <n v="0"/>
    <n v="10637"/>
    <n v="0"/>
  </r>
  <r>
    <s v="RAUL ISAAC RIVERA MORENO"/>
    <x v="0"/>
    <x v="1"/>
    <x v="152"/>
    <s v="MX"/>
    <s v="Mexicano"/>
    <n v="15874"/>
    <n v="0"/>
    <n v="0"/>
    <n v="0"/>
    <n v="1694"/>
  </r>
  <r>
    <s v="SANVITE"/>
    <x v="0"/>
    <x v="0"/>
    <x v="114"/>
    <s v="MX"/>
    <s v="Mexicano"/>
    <n v="0"/>
    <n v="0"/>
    <n v="0"/>
    <n v="2510"/>
    <n v="0"/>
  </r>
  <r>
    <s v="SERVANDO RAFAEL OROZCO RODRIGUEZ"/>
    <x v="0"/>
    <x v="0"/>
    <x v="117"/>
    <s v="MX"/>
    <s v="Mexicano"/>
    <n v="0"/>
    <n v="0"/>
    <n v="65255"/>
    <n v="0"/>
    <n v="0"/>
  </r>
  <r>
    <s v="SERVICIOS INDUSTRIALES PARA EL MANEJO DEL MED"/>
    <x v="0"/>
    <x v="0"/>
    <x v="120"/>
    <s v="MX"/>
    <s v="Mexicano"/>
    <n v="2000"/>
    <n v="0"/>
    <n v="0"/>
    <n v="0"/>
    <n v="0"/>
  </r>
  <r>
    <s v="SERVICIOS INTEGRALES MEDICOS AVANZADOS DE OCC"/>
    <x v="0"/>
    <x v="0"/>
    <x v="153"/>
    <s v="MX"/>
    <s v="Mexicano"/>
    <n v="1784"/>
    <n v="0"/>
    <n v="0"/>
    <n v="0"/>
    <n v="0"/>
  </r>
  <r>
    <s v="SERVICIOS Y LUBRICANTES JOYCAR"/>
    <x v="0"/>
    <x v="0"/>
    <x v="154"/>
    <s v="MX"/>
    <s v="Mexicano"/>
    <n v="1569"/>
    <n v="0"/>
    <n v="0"/>
    <n v="0"/>
    <n v="0"/>
  </r>
  <r>
    <s v="TRAMO CARRETERO GUADALAJARACOLIMA"/>
    <x v="0"/>
    <x v="0"/>
    <x v="155"/>
    <s v="MX"/>
    <s v="Mexicano"/>
    <n v="1410"/>
    <n v="0"/>
    <n v="0"/>
    <n v="0"/>
    <n v="0"/>
  </r>
  <r>
    <s v="XITLALY ELIZABETH RODRIGUEZ ZAMORA"/>
    <x v="0"/>
    <x v="0"/>
    <x v="156"/>
    <s v="MX"/>
    <s v="Mexicano"/>
    <n v="2595"/>
    <n v="0"/>
    <n v="0"/>
    <n v="0"/>
    <n v="0"/>
  </r>
  <r>
    <m/>
    <x v="1"/>
    <x v="3"/>
    <x v="157"/>
    <m/>
    <m/>
    <m/>
    <m/>
    <m/>
    <m/>
    <m/>
  </r>
  <r>
    <m/>
    <x v="1"/>
    <x v="3"/>
    <x v="157"/>
    <m/>
    <m/>
    <m/>
    <m/>
    <m/>
    <m/>
    <m/>
  </r>
  <r>
    <m/>
    <x v="1"/>
    <x v="3"/>
    <x v="157"/>
    <m/>
    <m/>
    <m/>
    <m/>
    <m/>
    <m/>
    <m/>
  </r>
  <r>
    <m/>
    <x v="1"/>
    <x v="3"/>
    <x v="157"/>
    <m/>
    <m/>
    <m/>
    <m/>
    <m/>
    <m/>
    <m/>
  </r>
  <r>
    <m/>
    <x v="1"/>
    <x v="3"/>
    <x v="157"/>
    <m/>
    <m/>
    <m/>
    <m/>
    <m/>
    <m/>
    <m/>
  </r>
  <r>
    <m/>
    <x v="1"/>
    <x v="3"/>
    <x v="157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1980B-E670-440C-96D8-FF090071D2B2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E162" firstHeaderRow="0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>
      <items count="5">
        <item x="1"/>
        <item x="2"/>
        <item x="0"/>
        <item x="3"/>
        <item t="default"/>
      </items>
    </pivotField>
    <pivotField axis="axisRow" showAll="0">
      <items count="159">
        <item x="45"/>
        <item x="145"/>
        <item x="113"/>
        <item x="6"/>
        <item x="3"/>
        <item x="12"/>
        <item x="1"/>
        <item x="0"/>
        <item x="11"/>
        <item x="131"/>
        <item x="44"/>
        <item x="143"/>
        <item x="21"/>
        <item x="46"/>
        <item x="79"/>
        <item x="13"/>
        <item x="132"/>
        <item x="27"/>
        <item x="19"/>
        <item x="90"/>
        <item x="17"/>
        <item x="22"/>
        <item x="18"/>
        <item x="14"/>
        <item x="16"/>
        <item x="29"/>
        <item x="80"/>
        <item x="102"/>
        <item x="65"/>
        <item x="100"/>
        <item x="134"/>
        <item x="35"/>
        <item x="33"/>
        <item x="136"/>
        <item x="25"/>
        <item x="34"/>
        <item x="32"/>
        <item x="9"/>
        <item x="36"/>
        <item x="66"/>
        <item x="24"/>
        <item x="30"/>
        <item x="37"/>
        <item x="40"/>
        <item x="42"/>
        <item x="41"/>
        <item x="137"/>
        <item x="82"/>
        <item x="43"/>
        <item x="48"/>
        <item x="47"/>
        <item x="51"/>
        <item x="50"/>
        <item x="140"/>
        <item x="139"/>
        <item x="77"/>
        <item x="74"/>
        <item x="129"/>
        <item x="64"/>
        <item x="99"/>
        <item x="49"/>
        <item x="73"/>
        <item x="95"/>
        <item x="53"/>
        <item x="38"/>
        <item x="144"/>
        <item x="116"/>
        <item x="58"/>
        <item x="59"/>
        <item x="60"/>
        <item x="68"/>
        <item x="56"/>
        <item x="28"/>
        <item x="4"/>
        <item x="135"/>
        <item x="61"/>
        <item x="142"/>
        <item x="63"/>
        <item x="88"/>
        <item x="71"/>
        <item x="39"/>
        <item x="97"/>
        <item x="83"/>
        <item x="23"/>
        <item x="138"/>
        <item x="149"/>
        <item x="92"/>
        <item x="86"/>
        <item x="8"/>
        <item x="78"/>
        <item x="87"/>
        <item x="89"/>
        <item x="85"/>
        <item x="91"/>
        <item x="62"/>
        <item x="93"/>
        <item x="96"/>
        <item x="94"/>
        <item x="81"/>
        <item x="98"/>
        <item x="150"/>
        <item x="31"/>
        <item x="117"/>
        <item x="70"/>
        <item x="15"/>
        <item x="106"/>
        <item x="151"/>
        <item x="103"/>
        <item x="105"/>
        <item x="7"/>
        <item x="104"/>
        <item x="101"/>
        <item x="121"/>
        <item x="109"/>
        <item x="111"/>
        <item x="147"/>
        <item x="152"/>
        <item x="75"/>
        <item x="55"/>
        <item x="141"/>
        <item x="156"/>
        <item x="108"/>
        <item x="20"/>
        <item x="10"/>
        <item x="112"/>
        <item x="119"/>
        <item x="114"/>
        <item x="5"/>
        <item x="69"/>
        <item x="133"/>
        <item x="54"/>
        <item x="120"/>
        <item x="153"/>
        <item x="122"/>
        <item x="154"/>
        <item x="118"/>
        <item x="115"/>
        <item x="110"/>
        <item x="148"/>
        <item x="52"/>
        <item x="125"/>
        <item x="123"/>
        <item x="155"/>
        <item x="2"/>
        <item x="124"/>
        <item x="126"/>
        <item x="146"/>
        <item x="127"/>
        <item x="76"/>
        <item x="84"/>
        <item x="57"/>
        <item x="128"/>
        <item x="130"/>
        <item x="67"/>
        <item x="107"/>
        <item x="72"/>
        <item x="26"/>
        <item x="157"/>
        <item t="default"/>
      </items>
    </pivotField>
    <pivotField showAll="0"/>
    <pivotField showAll="0"/>
    <pivotField dataField="1" showAll="0"/>
    <pivotField showAll="0"/>
    <pivotField dataField="1" showAll="0"/>
    <pivotField dataField="1" showAll="0"/>
    <pivotField dataField="1" showAll="0"/>
  </pivotFields>
  <rowFields count="1">
    <field x="3"/>
  </rowFields>
  <rowItems count="1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Pagado 16%" fld="6" baseField="0" baseItem="0"/>
    <dataField name="Suma de Pagado 0%" fld="8" baseField="0" baseItem="0"/>
    <dataField name="Suma de Exento" fld="9" baseField="0" baseItem="0"/>
    <dataField name="Suma de Retenido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2" dT="2025-02-20T17:27:15.18" personId="{E31924EE-631B-4688-B751-5F76BD8833E3}" id="{BB7F0772-569C-4BA1-9424-3F1ACBCB0AFA}">
    <text>Para proveedor “nacional y global” el campo se encuentra vacío.</text>
  </threadedComment>
  <threadedComment ref="E12" dT="2025-02-20T17:27:15.18" personId="{E31924EE-631B-4688-B751-5F76BD8833E3}" id="{4EC1D5C6-F602-41B4-B0AB-533C2D76FC0C}">
    <text>Para proveedor “nacional y global” el campo se encuentra vacío.</text>
  </threadedComment>
  <threadedComment ref="F12" dT="2025-02-20T17:27:15.18" personId="{E31924EE-631B-4688-B751-5F76BD8833E3}" id="{F5113E58-DAEB-48C0-856A-ED1A703A9D00}">
    <text>Para proveedor “nacional y global” el campo se encuentra vacío.</text>
  </threadedComment>
  <threadedComment ref="G12" dT="2025-02-20T17:27:15.18" personId="{E31924EE-631B-4688-B751-5F76BD8833E3}" id="{CFE75D2D-DDD8-46E7-9B99-61C17AB41869}">
    <text>Para proveedor “nacional y global” el campo se encuentra vacío.</text>
  </threadedComment>
  <threadedComment ref="H12" dT="2025-02-20T17:33:27.54" personId="{E31924EE-631B-4688-B751-5F76BD8833E3}" id="{DDC15378-F26D-416C-ADB5-89F8A0966A3F}">
    <text xml:space="preserve">No permite decimales.
Acepta cero. </text>
  </threadedComment>
  <threadedComment ref="I12" dT="2025-02-20T17:34:10.29" personId="{E31924EE-631B-4688-B751-5F76BD8833E3}" id="{D0CFE063-D3B2-4D01-8812-1D389ED0B462}">
    <text xml:space="preserve">No permite decimales.
Acepta cero. 
El valor del campo debe ser igual o menor que el valor del campo anterior, Valor total de actos o actividades pagadas / Actos o actividades pagados en la región fronteriza norte. </text>
  </threadedComment>
  <threadedComment ref="J12" dT="2025-02-20T17:33:27.54" personId="{E31924EE-631B-4688-B751-5F76BD8833E3}" id="{7CF48D71-2161-41AF-9B21-421D136F1538}">
    <text xml:space="preserve">No permite decimales.
Acepta cero. </text>
  </threadedComment>
  <threadedComment ref="K12" dT="2025-02-20T17:34:10.29" personId="{E31924EE-631B-4688-B751-5F76BD8833E3}" id="{6B566F42-DBAB-4BC0-8551-8D96402EFC38}">
    <text xml:space="preserve">No permite decimales.
Acepta cero. 
El valor del campo debe ser igual o menor que el valor del campo anterior, Valor total de actos o actividades pagadas / Actos o actividades pagados en la región fronteriza sur. </text>
  </threadedComment>
  <threadedComment ref="L12" dT="2025-02-20T17:33:27.54" personId="{E31924EE-631B-4688-B751-5F76BD8833E3}" id="{E86163B5-99FB-4EF4-B6D3-7C42806C344F}">
    <text xml:space="preserve">No permite decimales.
Acepta cero. </text>
  </threadedComment>
  <threadedComment ref="M12" dT="2025-02-20T17:41:08.54" personId="{E31924EE-631B-4688-B751-5F76BD8833E3}" id="{82F0FC5D-B2B3-4705-B423-788B13D896DC}">
    <text xml:space="preserve">No permite decimales. 
Acepta cero. 
El valor del campo debe ser igual o menor que el valor del campo anterior, Valor total de actos o actividades pagadas / Actos o actividades totales pagados a la tasa del 16% de IVA. </text>
  </threadedComment>
  <threadedComment ref="N12" dT="2025-02-20T17:33:27.54" personId="{E31924EE-631B-4688-B751-5F76BD8833E3}" id="{B8934FEF-6856-4825-A27D-C335A795690E}">
    <text xml:space="preserve">No permite decimales.
Acepta cero. </text>
  </threadedComment>
  <threadedComment ref="O12" dT="2025-02-20T17:43:56.93" personId="{E31924EE-631B-4688-B751-5F76BD8833E3}" id="{D79C69D3-9B3A-4959-A0AF-E2A252C9BC15}">
    <text xml:space="preserve">No permite decimales. 
Acepta cero. 
El valor del campo debe ser igual o menor que el valor del campo anterior, Valor total de actos o actividades pagadas / Actos o actividades pagados en la importación por aduana de bienes tangibles a la tasa del 16% de IVA. </text>
  </threadedComment>
  <threadedComment ref="P12" dT="2025-02-20T17:33:27.54" personId="{E31924EE-631B-4688-B751-5F76BD8833E3}" id="{8779BE12-8D48-4CC4-AB07-4F3CB562D704}">
    <text xml:space="preserve">No permite decimales.
Acepta cero. </text>
  </threadedComment>
  <threadedComment ref="Q12" dT="2025-02-20T17:45:39.49" personId="{E31924EE-631B-4688-B751-5F76BD8833E3}" id="{5A5E2556-63A8-40E5-B6DC-B91488D06B73}">
    <text xml:space="preserve">No permite decimales. 
Acepta cero. 
El valor del campo debe ser igual o menor que el valor del campo anterior, Valor total de actos o actividades pagadas / Actos o actividades pagados en la importación de bienes intangibles y servicios a la tasa del 16% de IVA. </text>
  </threadedComment>
  <threadedComment ref="R12" dT="2025-02-20T17:50:07.45" personId="{E31924EE-631B-4688-B751-5F76BD8833E3}" id="{6A4B63C1-4029-46A2-BC51-B24698959B5E}">
    <text xml:space="preserve">No permite decimales. 
Acepta cero. 
Se ingresa monto cuando el valor del campo Valor total de actos o actividades pagadas / Actos o actividades pagados en la región fronteriza norte es mayor a cero. </text>
  </threadedComment>
  <threadedComment ref="S12" dT="2025-02-20T17:50:33.19" personId="{E31924EE-631B-4688-B751-5F76BD8833E3}" id="{21F98673-85EF-4794-9EA0-93E5674A374A}">
    <text xml:space="preserve">No permite decimales. 
Acepta cero. 
Se ingresa monto cuando el valor del campo Valor total de actos o actividades pagadas / Actos o actividades pagados en la región fronteriza norte es mayor a cero. </text>
  </threadedComment>
  <threadedComment ref="T12" dT="2025-02-20T17:50:48.84" personId="{E31924EE-631B-4688-B751-5F76BD8833E3}" id="{5953B777-006C-4A11-B206-EC8FA0F2267B}">
    <text xml:space="preserve">No permite decimales. 
Acepta cero. 
Se ingresa monto cuando el valor del campo Valor total de actos o actividades pagadas / Actos o actividades pagados en la región fronteriza sur es mayor a cero. </text>
  </threadedComment>
  <threadedComment ref="U12" dT="2025-02-20T17:52:25.04" personId="{E31924EE-631B-4688-B751-5F76BD8833E3}" id="{7064873F-2C04-41DC-8F04-CAAA0CA71583}">
    <text xml:space="preserve">No permite decimales. 
Acepta cero. 
Se ingresa monto cuando el valor del campo Valor total de actos o actividades pagadas / Actos o actividades pagados en la región fronteriza sur es mayor a cero </text>
  </threadedComment>
  <threadedComment ref="V12" dT="2025-02-20T17:52:37.76" personId="{E31924EE-631B-4688-B751-5F76BD8833E3}" id="{B0A06204-243E-49B1-8B8F-9D248E239204}">
    <text xml:space="preserve">No permite decimales. 
Acepta cero. 
Se ingresa monto cuando el valor del campo Valor total de actos o actividades pagadas / Actos o actividades totales pagados a la tasa del 16% de IVA es mayor a cero. </text>
  </threadedComment>
  <threadedComment ref="W12" dT="2025-02-20T17:53:04.47" personId="{E31924EE-631B-4688-B751-5F76BD8833E3}" id="{61493985-39EB-4FD6-AFB9-FBDBA1592687}">
    <text xml:space="preserve">No permite decimales. 
Acepta cero. 
Se ingresa monto cuando el valor del campo Valor total de actos o actividades pagadas / Actos o actividades totales pagados a la tasa del 16% de IVA es mayor a cero. </text>
  </threadedComment>
  <threadedComment ref="X12" dT="2025-02-20T17:54:58.56" personId="{E31924EE-631B-4688-B751-5F76BD8833E3}" id="{A2E1E1D9-198F-4C1D-8A93-CAFF402B311C}">
    <text xml:space="preserve">No permite decimales. 
Acepta cero. 
Se ingresa monto cuando el valor del campo Valor total de actos o actividades pagadas / Actos o actividades pagados en la importación por aduana de bienes tangibles a la tasa del 16% de IVA es mayor a cero. </text>
  </threadedComment>
  <threadedComment ref="Y12" dT="2025-02-20T17:55:21.86" personId="{E31924EE-631B-4688-B751-5F76BD8833E3}" id="{6C01BEF9-CBD3-40E1-94F2-BA1CC4D07481}">
    <text xml:space="preserve">No permite decimales. 
Acepta cero. 
Se ingresa monto cuando el valor del campo Valor total de actos o actividades pagadas / Actos o actividades pagados en la importación por aduana de bienes tangibles a la tasa del 16% de IVA es mayor a cero </text>
  </threadedComment>
  <threadedComment ref="Z12" dT="2025-02-20T17:56:22.34" personId="{E31924EE-631B-4688-B751-5F76BD8833E3}" id="{1E45DF66-A59A-45C5-807E-B32007D2B1B7}">
    <text xml:space="preserve">No permite decimales. 
Acepta cero.
Se ingresa monto cuando el valor del campo Valor total de actos o actividades pagadas / Actos o actividades pagados en la importación de bienes intangibles y servicios a la tasa del 16% de IVA es mayor a cero. </text>
  </threadedComment>
  <threadedComment ref="AA12" dT="2025-02-20T17:56:37.14" personId="{E31924EE-631B-4688-B751-5F76BD8833E3}" id="{A40C952C-7093-4FA2-8F5D-F63A655D0CCF}">
    <text xml:space="preserve">No permite decimales. 
Acepta cero. 
Se ingresa monto cuando el valor del campo Valor total de actos o actividades pagadas / Actos o actividades pagados en la importación de bienes intangibles y servicios a la tasa del 16% de IVA es mayor a cero. </text>
  </threadedComment>
  <threadedComment ref="BB12" dT="2025-02-20T18:12:24.14" personId="{E31924EE-631B-4688-B751-5F76BD8833E3}" id="{DA6D2E00-F6AE-46D7-B517-FEC995D26B8A}">
    <text xml:space="preserve">01 Sí 
02 No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C4A1-16EC-4493-83B8-F6E34C3D9C40}">
  <sheetPr codeName="Hoja1"/>
  <dimension ref="A5:BB253"/>
  <sheetViews>
    <sheetView tabSelected="1" zoomScaleNormal="100" workbookViewId="0">
      <selection activeCell="E18" sqref="E18"/>
    </sheetView>
  </sheetViews>
  <sheetFormatPr baseColWidth="10" defaultRowHeight="15" x14ac:dyDescent="0.25"/>
  <cols>
    <col min="1" max="2" width="11.42578125" customWidth="1"/>
    <col min="3" max="3" width="20.7109375" bestFit="1" customWidth="1"/>
    <col min="4" max="7" width="11.42578125" customWidth="1"/>
    <col min="12" max="12" width="13.140625" bestFit="1" customWidth="1"/>
    <col min="13" max="13" width="28.85546875" bestFit="1" customWidth="1"/>
    <col min="18" max="18" width="10.85546875"/>
    <col min="22" max="22" width="13.42578125" bestFit="1" customWidth="1"/>
    <col min="48" max="48" width="12.85546875" bestFit="1" customWidth="1"/>
    <col min="50" max="50" width="18.5703125" bestFit="1" customWidth="1"/>
    <col min="51" max="51" width="15" bestFit="1" customWidth="1"/>
  </cols>
  <sheetData>
    <row r="5" spans="1:54" x14ac:dyDescent="0.25">
      <c r="Z5" s="21"/>
    </row>
    <row r="7" spans="1:54" x14ac:dyDescent="0.25">
      <c r="M7" s="21">
        <f>L9*0.16</f>
        <v>0</v>
      </c>
      <c r="N7" s="21">
        <f>AK9</f>
        <v>0</v>
      </c>
      <c r="O7" s="21">
        <f>M7-N7+R9</f>
        <v>0</v>
      </c>
      <c r="P7" s="21">
        <f>O7-V9</f>
        <v>0</v>
      </c>
      <c r="V7" s="13"/>
    </row>
    <row r="8" spans="1:54" x14ac:dyDescent="0.25">
      <c r="T8" s="21"/>
      <c r="V8" s="21"/>
      <c r="W8" s="21"/>
    </row>
    <row r="9" spans="1:54" s="13" customFormat="1" x14ac:dyDescent="0.25">
      <c r="B9" s="13">
        <f t="shared" ref="B9:K9" si="0">SUBTOTAL(9,B13:B398)</f>
        <v>0</v>
      </c>
      <c r="C9" s="13">
        <f t="shared" si="0"/>
        <v>0</v>
      </c>
      <c r="D9" s="13">
        <f t="shared" si="0"/>
        <v>0</v>
      </c>
      <c r="E9" s="13">
        <f t="shared" si="0"/>
        <v>0</v>
      </c>
      <c r="F9" s="13">
        <f t="shared" si="0"/>
        <v>0</v>
      </c>
      <c r="G9" s="13">
        <f t="shared" si="0"/>
        <v>0</v>
      </c>
      <c r="H9" s="13">
        <f t="shared" si="0"/>
        <v>0</v>
      </c>
      <c r="I9" s="13">
        <f t="shared" si="0"/>
        <v>0</v>
      </c>
      <c r="J9" s="13">
        <f t="shared" si="0"/>
        <v>0</v>
      </c>
      <c r="K9" s="13">
        <f t="shared" si="0"/>
        <v>0</v>
      </c>
      <c r="L9" s="13">
        <f>SUBTOTAL(9,L13:L398)</f>
        <v>0</v>
      </c>
      <c r="M9" s="13">
        <f t="shared" ref="M9:BB9" si="1">SUBTOTAL(9,M13:M398)</f>
        <v>0</v>
      </c>
      <c r="N9" s="13">
        <f t="shared" si="1"/>
        <v>0</v>
      </c>
      <c r="O9" s="13">
        <f t="shared" si="1"/>
        <v>0</v>
      </c>
      <c r="P9" s="13">
        <f t="shared" si="1"/>
        <v>0</v>
      </c>
      <c r="Q9" s="13">
        <f t="shared" si="1"/>
        <v>0</v>
      </c>
      <c r="R9" s="13">
        <f t="shared" si="1"/>
        <v>0</v>
      </c>
      <c r="S9" s="13">
        <f t="shared" si="1"/>
        <v>0</v>
      </c>
      <c r="T9" s="13">
        <f t="shared" si="1"/>
        <v>0</v>
      </c>
      <c r="U9" s="13">
        <f t="shared" si="1"/>
        <v>0</v>
      </c>
      <c r="V9" s="13">
        <f>SUBTOTAL(9,V13:V398)+R9</f>
        <v>0</v>
      </c>
      <c r="W9" s="13">
        <f t="shared" si="1"/>
        <v>0</v>
      </c>
      <c r="X9" s="13">
        <f t="shared" si="1"/>
        <v>0</v>
      </c>
      <c r="Y9" s="13">
        <f t="shared" si="1"/>
        <v>0</v>
      </c>
      <c r="Z9" s="13">
        <f t="shared" si="1"/>
        <v>0</v>
      </c>
      <c r="AA9" s="13">
        <f t="shared" si="1"/>
        <v>0</v>
      </c>
      <c r="AB9" s="13">
        <f t="shared" si="1"/>
        <v>0</v>
      </c>
      <c r="AC9" s="13">
        <f t="shared" si="1"/>
        <v>0</v>
      </c>
      <c r="AD9" s="13">
        <f t="shared" si="1"/>
        <v>0</v>
      </c>
      <c r="AE9" s="13">
        <f t="shared" si="1"/>
        <v>0</v>
      </c>
      <c r="AF9" s="13">
        <f t="shared" si="1"/>
        <v>0</v>
      </c>
      <c r="AG9" s="13">
        <f t="shared" si="1"/>
        <v>0</v>
      </c>
      <c r="AH9" s="13">
        <f t="shared" si="1"/>
        <v>0</v>
      </c>
      <c r="AI9" s="13">
        <f t="shared" si="1"/>
        <v>0</v>
      </c>
      <c r="AJ9" s="13">
        <f t="shared" si="1"/>
        <v>0</v>
      </c>
      <c r="AK9" s="13">
        <f t="shared" si="1"/>
        <v>0</v>
      </c>
      <c r="AL9" s="13">
        <f t="shared" si="1"/>
        <v>0</v>
      </c>
      <c r="AM9" s="13">
        <f t="shared" si="1"/>
        <v>0</v>
      </c>
      <c r="AN9" s="13">
        <f t="shared" si="1"/>
        <v>0</v>
      </c>
      <c r="AO9" s="13">
        <f t="shared" si="1"/>
        <v>0</v>
      </c>
      <c r="AP9" s="13">
        <f t="shared" si="1"/>
        <v>0</v>
      </c>
      <c r="AQ9" s="13">
        <f t="shared" si="1"/>
        <v>0</v>
      </c>
      <c r="AR9" s="13">
        <f t="shared" si="1"/>
        <v>0</v>
      </c>
      <c r="AS9" s="13">
        <f t="shared" si="1"/>
        <v>0</v>
      </c>
      <c r="AT9" s="13">
        <f t="shared" si="1"/>
        <v>0</v>
      </c>
      <c r="AU9" s="13">
        <f t="shared" si="1"/>
        <v>0</v>
      </c>
      <c r="AV9" s="13">
        <f t="shared" si="1"/>
        <v>0</v>
      </c>
      <c r="AW9" s="13">
        <f t="shared" si="1"/>
        <v>0</v>
      </c>
      <c r="AX9" s="13">
        <f t="shared" si="1"/>
        <v>0</v>
      </c>
      <c r="AY9" s="13">
        <f t="shared" si="1"/>
        <v>0</v>
      </c>
      <c r="AZ9" s="13">
        <f t="shared" si="1"/>
        <v>0</v>
      </c>
      <c r="BA9" s="13">
        <f t="shared" si="1"/>
        <v>0</v>
      </c>
      <c r="BB9" s="13">
        <f t="shared" si="1"/>
        <v>0</v>
      </c>
    </row>
    <row r="10" spans="1:54" x14ac:dyDescent="0.25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  <c r="K10">
        <v>11</v>
      </c>
      <c r="L10">
        <v>12</v>
      </c>
      <c r="M10">
        <v>13</v>
      </c>
      <c r="N10">
        <v>14</v>
      </c>
      <c r="O10">
        <v>15</v>
      </c>
      <c r="P10">
        <v>16</v>
      </c>
      <c r="Q10">
        <v>17</v>
      </c>
      <c r="R10">
        <v>18</v>
      </c>
      <c r="S10">
        <v>19</v>
      </c>
      <c r="T10">
        <v>20</v>
      </c>
      <c r="U10">
        <v>21</v>
      </c>
      <c r="V10">
        <v>22</v>
      </c>
      <c r="W10">
        <v>23</v>
      </c>
      <c r="X10">
        <v>24</v>
      </c>
      <c r="Y10">
        <v>25</v>
      </c>
      <c r="Z10">
        <v>26</v>
      </c>
      <c r="AA10">
        <v>27</v>
      </c>
      <c r="AB10">
        <v>28</v>
      </c>
      <c r="AC10">
        <v>29</v>
      </c>
      <c r="AD10">
        <v>30</v>
      </c>
      <c r="AE10">
        <v>31</v>
      </c>
      <c r="AF10">
        <v>32</v>
      </c>
      <c r="AG10">
        <v>33</v>
      </c>
      <c r="AH10">
        <v>34</v>
      </c>
      <c r="AI10">
        <v>35</v>
      </c>
      <c r="AJ10">
        <v>36</v>
      </c>
      <c r="AK10">
        <v>37</v>
      </c>
      <c r="AL10">
        <v>38</v>
      </c>
      <c r="AM10">
        <v>39</v>
      </c>
      <c r="AN10">
        <v>40</v>
      </c>
      <c r="AO10">
        <v>41</v>
      </c>
      <c r="AP10">
        <v>42</v>
      </c>
      <c r="AQ10">
        <v>43</v>
      </c>
      <c r="AR10">
        <v>44</v>
      </c>
      <c r="AS10">
        <v>45</v>
      </c>
      <c r="AT10">
        <v>46</v>
      </c>
      <c r="AU10">
        <v>47</v>
      </c>
      <c r="AV10">
        <v>48</v>
      </c>
      <c r="AW10">
        <v>49</v>
      </c>
      <c r="AX10">
        <v>50</v>
      </c>
      <c r="AY10">
        <v>51</v>
      </c>
      <c r="AZ10">
        <v>52</v>
      </c>
      <c r="BA10">
        <v>53</v>
      </c>
      <c r="BB10">
        <v>54</v>
      </c>
    </row>
    <row r="11" spans="1:54" x14ac:dyDescent="0.25">
      <c r="A11" s="40" t="s">
        <v>17</v>
      </c>
      <c r="B11" s="40"/>
      <c r="C11" s="40"/>
      <c r="D11" s="40"/>
      <c r="E11" s="40"/>
      <c r="F11" s="40"/>
      <c r="G11" s="40"/>
      <c r="H11" s="41" t="s">
        <v>18</v>
      </c>
      <c r="I11" s="41"/>
      <c r="J11" s="41"/>
      <c r="K11" s="41"/>
      <c r="L11" s="41"/>
      <c r="M11" s="41"/>
      <c r="N11" s="41"/>
      <c r="O11" s="41"/>
      <c r="P11" s="41"/>
      <c r="Q11" s="41"/>
      <c r="R11" s="42" t="s">
        <v>30</v>
      </c>
      <c r="S11" s="42"/>
      <c r="T11" s="42"/>
      <c r="U11" s="42"/>
      <c r="V11" s="42"/>
      <c r="W11" s="42"/>
      <c r="X11" s="42"/>
      <c r="Y11" s="42"/>
      <c r="Z11" s="42"/>
      <c r="AA11" s="42"/>
      <c r="AB11" s="43" t="s">
        <v>29</v>
      </c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5" t="s">
        <v>47</v>
      </c>
      <c r="AW11" s="45"/>
      <c r="AX11" s="45"/>
      <c r="AY11" s="45"/>
      <c r="AZ11" s="45"/>
      <c r="BA11" s="45"/>
      <c r="BB11" s="45"/>
    </row>
    <row r="12" spans="1:54" s="2" customFormat="1" ht="78" customHeight="1" x14ac:dyDescent="0.25">
      <c r="A12" s="1" t="s">
        <v>0</v>
      </c>
      <c r="B12" s="1" t="s">
        <v>1</v>
      </c>
      <c r="C12" s="1" t="s">
        <v>2</v>
      </c>
      <c r="D12" s="5" t="s">
        <v>3</v>
      </c>
      <c r="E12" s="5" t="s">
        <v>4</v>
      </c>
      <c r="F12" s="5" t="s">
        <v>5</v>
      </c>
      <c r="G12" s="5" t="s">
        <v>6</v>
      </c>
      <c r="H12" s="3" t="s">
        <v>7</v>
      </c>
      <c r="I12" s="3" t="s">
        <v>8</v>
      </c>
      <c r="J12" s="3" t="s">
        <v>9</v>
      </c>
      <c r="K12" s="3" t="s">
        <v>10</v>
      </c>
      <c r="L12" s="1" t="s">
        <v>11</v>
      </c>
      <c r="M12" s="3" t="s">
        <v>12</v>
      </c>
      <c r="N12" s="3" t="s">
        <v>13</v>
      </c>
      <c r="O12" s="6" t="s">
        <v>14</v>
      </c>
      <c r="P12" s="6" t="s">
        <v>15</v>
      </c>
      <c r="Q12" s="6" t="s">
        <v>16</v>
      </c>
      <c r="R12" s="7" t="s">
        <v>19</v>
      </c>
      <c r="S12" s="7" t="s">
        <v>20</v>
      </c>
      <c r="T12" s="7" t="s">
        <v>21</v>
      </c>
      <c r="U12" s="7" t="s">
        <v>22</v>
      </c>
      <c r="V12" s="11" t="s">
        <v>23</v>
      </c>
      <c r="W12" s="7" t="s">
        <v>24</v>
      </c>
      <c r="X12" s="7" t="s">
        <v>25</v>
      </c>
      <c r="Y12" s="7" t="s">
        <v>26</v>
      </c>
      <c r="Z12" s="7" t="s">
        <v>27</v>
      </c>
      <c r="AA12" s="7" t="s">
        <v>28</v>
      </c>
      <c r="AB12" s="4" t="s">
        <v>20</v>
      </c>
      <c r="AC12" s="4" t="s">
        <v>31</v>
      </c>
      <c r="AD12" s="4" t="s">
        <v>32</v>
      </c>
      <c r="AE12" s="4" t="s">
        <v>33</v>
      </c>
      <c r="AF12" s="4" t="s">
        <v>22</v>
      </c>
      <c r="AG12" s="4" t="s">
        <v>34</v>
      </c>
      <c r="AH12" s="4" t="s">
        <v>35</v>
      </c>
      <c r="AI12" s="4" t="s">
        <v>36</v>
      </c>
      <c r="AJ12" s="4" t="s">
        <v>24</v>
      </c>
      <c r="AK12" s="4" t="s">
        <v>37</v>
      </c>
      <c r="AL12" s="4" t="s">
        <v>38</v>
      </c>
      <c r="AM12" s="4" t="s">
        <v>39</v>
      </c>
      <c r="AN12" s="4" t="s">
        <v>26</v>
      </c>
      <c r="AO12" s="4" t="s">
        <v>40</v>
      </c>
      <c r="AP12" s="4" t="s">
        <v>41</v>
      </c>
      <c r="AQ12" s="4" t="s">
        <v>42</v>
      </c>
      <c r="AR12" s="4" t="s">
        <v>43</v>
      </c>
      <c r="AS12" s="4" t="s">
        <v>44</v>
      </c>
      <c r="AT12" s="4" t="s">
        <v>45</v>
      </c>
      <c r="AU12" s="8" t="s">
        <v>46</v>
      </c>
      <c r="AV12" s="35" t="s">
        <v>48</v>
      </c>
      <c r="AW12" s="9" t="s">
        <v>49</v>
      </c>
      <c r="AX12" s="11" t="s">
        <v>50</v>
      </c>
      <c r="AY12" s="11" t="s">
        <v>51</v>
      </c>
      <c r="AZ12" s="9" t="s">
        <v>52</v>
      </c>
      <c r="BA12" s="9" t="s">
        <v>53</v>
      </c>
      <c r="BB12" s="11" t="s">
        <v>54</v>
      </c>
    </row>
    <row r="13" spans="1:54" s="10" customFormat="1" x14ac:dyDescent="0.25">
      <c r="A13" s="17"/>
      <c r="B13" s="17"/>
      <c r="C13" s="17"/>
      <c r="D13" s="18"/>
      <c r="E13" s="12"/>
      <c r="F13" s="12"/>
      <c r="G13" s="12"/>
      <c r="H13" s="12"/>
      <c r="I13" s="12"/>
      <c r="J13" s="12"/>
      <c r="K13" s="12"/>
      <c r="L13" s="17"/>
      <c r="M13" s="12"/>
      <c r="N13" s="12"/>
      <c r="O13" s="12"/>
      <c r="P13" s="12"/>
      <c r="Q13" s="12"/>
      <c r="R13" s="28"/>
      <c r="S13" s="12"/>
      <c r="T13" s="12"/>
      <c r="U13" s="12"/>
      <c r="V13" s="20"/>
      <c r="W13" s="20"/>
      <c r="X13" s="20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31"/>
      <c r="AV13" s="36"/>
      <c r="AW13" s="18"/>
      <c r="AX13" s="17"/>
      <c r="AY13" s="17"/>
      <c r="AZ13" s="12"/>
      <c r="BA13" s="12"/>
      <c r="BB13" s="24"/>
    </row>
    <row r="14" spans="1:54" s="10" customFormat="1" x14ac:dyDescent="0.25">
      <c r="A14" s="17"/>
      <c r="B14" s="17"/>
      <c r="C14" s="17"/>
      <c r="D14" s="18"/>
      <c r="E14" s="12"/>
      <c r="F14" s="12"/>
      <c r="G14" s="12"/>
      <c r="H14" s="12"/>
      <c r="I14" s="12"/>
      <c r="J14" s="12"/>
      <c r="K14" s="12"/>
      <c r="L14" s="17"/>
      <c r="M14" s="12"/>
      <c r="N14" s="12"/>
      <c r="O14" s="12"/>
      <c r="P14" s="12"/>
      <c r="Q14" s="12"/>
      <c r="R14" s="28"/>
      <c r="S14" s="12"/>
      <c r="T14" s="12"/>
      <c r="U14" s="12"/>
      <c r="V14" s="20"/>
      <c r="W14" s="20"/>
      <c r="X14" s="2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31"/>
      <c r="AV14" s="36"/>
      <c r="AW14" s="18"/>
      <c r="AX14" s="17"/>
      <c r="AY14" s="17"/>
      <c r="AZ14" s="12"/>
      <c r="BA14" s="12"/>
      <c r="BB14" s="24"/>
    </row>
    <row r="15" spans="1:54" s="10" customFormat="1" x14ac:dyDescent="0.25">
      <c r="A15" s="17"/>
      <c r="B15" s="17"/>
      <c r="C15" s="17"/>
      <c r="D15" s="18"/>
      <c r="E15" s="12"/>
      <c r="F15" s="12"/>
      <c r="G15" s="12"/>
      <c r="H15" s="12"/>
      <c r="I15" s="12"/>
      <c r="J15" s="12"/>
      <c r="K15" s="12"/>
      <c r="L15" s="17"/>
      <c r="M15" s="12"/>
      <c r="N15" s="12"/>
      <c r="O15" s="12"/>
      <c r="P15" s="12"/>
      <c r="Q15" s="12"/>
      <c r="R15" s="28"/>
      <c r="S15" s="12"/>
      <c r="T15" s="12"/>
      <c r="U15" s="12"/>
      <c r="V15" s="20"/>
      <c r="W15" s="20"/>
      <c r="X15" s="2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31"/>
      <c r="AV15" s="36"/>
      <c r="AW15" s="18"/>
      <c r="AX15" s="17"/>
      <c r="AY15" s="17"/>
      <c r="AZ15" s="12"/>
      <c r="BA15" s="12"/>
      <c r="BB15" s="24"/>
    </row>
    <row r="16" spans="1:54" s="10" customFormat="1" x14ac:dyDescent="0.25">
      <c r="A16" s="17"/>
      <c r="B16" s="17"/>
      <c r="C16" s="17"/>
      <c r="D16" s="18"/>
      <c r="E16" s="12"/>
      <c r="F16" s="12"/>
      <c r="G16" s="12"/>
      <c r="H16" s="12"/>
      <c r="I16" s="12"/>
      <c r="J16" s="12"/>
      <c r="K16" s="12"/>
      <c r="L16" s="17"/>
      <c r="M16" s="12"/>
      <c r="N16" s="12"/>
      <c r="O16" s="12"/>
      <c r="P16" s="12"/>
      <c r="Q16" s="12"/>
      <c r="R16" s="28"/>
      <c r="S16" s="12"/>
      <c r="T16" s="12"/>
      <c r="U16" s="12"/>
      <c r="V16" s="20"/>
      <c r="W16" s="20"/>
      <c r="X16" s="2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31"/>
      <c r="AV16" s="36"/>
      <c r="AW16" s="18"/>
      <c r="AX16" s="17"/>
      <c r="AY16" s="17"/>
      <c r="AZ16" s="12"/>
      <c r="BA16" s="12"/>
      <c r="BB16" s="24"/>
    </row>
    <row r="17" spans="1:54" s="10" customFormat="1" x14ac:dyDescent="0.25">
      <c r="A17" s="17"/>
      <c r="B17" s="17"/>
      <c r="C17" s="17"/>
      <c r="D17" s="18"/>
      <c r="E17" s="12"/>
      <c r="F17" s="12"/>
      <c r="G17" s="12"/>
      <c r="H17" s="12"/>
      <c r="I17" s="12"/>
      <c r="J17" s="12"/>
      <c r="K17" s="12"/>
      <c r="L17" s="17"/>
      <c r="M17" s="12"/>
      <c r="N17" s="12"/>
      <c r="O17" s="12"/>
      <c r="P17" s="12"/>
      <c r="Q17" s="12"/>
      <c r="R17" s="28"/>
      <c r="S17" s="12"/>
      <c r="T17" s="12"/>
      <c r="U17" s="12"/>
      <c r="V17" s="20"/>
      <c r="W17" s="20"/>
      <c r="X17" s="2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31"/>
      <c r="AV17" s="36"/>
      <c r="AW17" s="18"/>
      <c r="AX17" s="17"/>
      <c r="AY17" s="17"/>
      <c r="AZ17" s="12"/>
      <c r="BA17" s="12"/>
      <c r="BB17" s="24"/>
    </row>
    <row r="18" spans="1:54" s="10" customFormat="1" x14ac:dyDescent="0.25">
      <c r="A18" s="17"/>
      <c r="B18" s="17"/>
      <c r="C18" s="17"/>
      <c r="D18" s="18"/>
      <c r="E18" s="12"/>
      <c r="F18" s="12"/>
      <c r="G18" s="12"/>
      <c r="H18" s="12"/>
      <c r="I18" s="12"/>
      <c r="J18" s="12"/>
      <c r="K18" s="12"/>
      <c r="L18" s="17"/>
      <c r="M18" s="12"/>
      <c r="N18" s="12"/>
      <c r="O18" s="12"/>
      <c r="P18" s="12"/>
      <c r="Q18" s="12"/>
      <c r="R18" s="28"/>
      <c r="S18" s="12"/>
      <c r="T18" s="12"/>
      <c r="U18" s="12"/>
      <c r="V18" s="20"/>
      <c r="W18" s="20"/>
      <c r="X18" s="2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31"/>
      <c r="AV18" s="36"/>
      <c r="AW18" s="18"/>
      <c r="AX18" s="17"/>
      <c r="AY18" s="17"/>
      <c r="AZ18" s="12"/>
      <c r="BA18" s="12"/>
      <c r="BB18" s="24"/>
    </row>
    <row r="19" spans="1:54" s="10" customFormat="1" x14ac:dyDescent="0.25">
      <c r="A19" s="17"/>
      <c r="B19" s="17"/>
      <c r="C19" s="17"/>
      <c r="D19" s="18"/>
      <c r="E19" s="12"/>
      <c r="F19" s="12"/>
      <c r="G19" s="12"/>
      <c r="H19" s="12"/>
      <c r="I19" s="12"/>
      <c r="J19" s="12"/>
      <c r="K19" s="12"/>
      <c r="L19" s="17"/>
      <c r="M19" s="12"/>
      <c r="N19" s="12"/>
      <c r="O19" s="12"/>
      <c r="P19" s="12"/>
      <c r="Q19" s="12"/>
      <c r="R19" s="28"/>
      <c r="S19" s="12"/>
      <c r="T19" s="12"/>
      <c r="U19" s="12"/>
      <c r="V19" s="20"/>
      <c r="W19" s="20"/>
      <c r="X19" s="23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31"/>
      <c r="AV19" s="36"/>
      <c r="AW19" s="18"/>
      <c r="AX19" s="17"/>
      <c r="AY19" s="17"/>
      <c r="AZ19" s="12"/>
      <c r="BA19" s="12"/>
      <c r="BB19" s="24"/>
    </row>
    <row r="20" spans="1:54" s="10" customFormat="1" x14ac:dyDescent="0.25">
      <c r="A20" s="17"/>
      <c r="B20" s="17"/>
      <c r="C20" s="17"/>
      <c r="D20" s="18"/>
      <c r="E20" s="12"/>
      <c r="F20" s="12"/>
      <c r="G20" s="12"/>
      <c r="H20" s="12"/>
      <c r="I20" s="12"/>
      <c r="J20" s="12"/>
      <c r="K20" s="12"/>
      <c r="L20" s="17"/>
      <c r="M20" s="12"/>
      <c r="N20" s="12"/>
      <c r="O20" s="12"/>
      <c r="P20" s="12"/>
      <c r="Q20" s="12"/>
      <c r="R20" s="28"/>
      <c r="S20" s="12"/>
      <c r="T20" s="12"/>
      <c r="U20" s="12"/>
      <c r="V20" s="20"/>
      <c r="W20" s="20"/>
      <c r="X20" s="2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31"/>
      <c r="AV20" s="36"/>
      <c r="AW20" s="18"/>
      <c r="AX20" s="17"/>
      <c r="AY20" s="17"/>
      <c r="AZ20" s="12"/>
      <c r="BA20" s="12"/>
      <c r="BB20" s="24"/>
    </row>
    <row r="21" spans="1:54" s="10" customFormat="1" x14ac:dyDescent="0.25">
      <c r="A21" s="17"/>
      <c r="B21" s="17"/>
      <c r="C21" s="17"/>
      <c r="D21" s="18"/>
      <c r="E21" s="12"/>
      <c r="F21" s="12"/>
      <c r="G21" s="12"/>
      <c r="H21" s="12"/>
      <c r="I21" s="12"/>
      <c r="J21" s="12"/>
      <c r="K21" s="12"/>
      <c r="L21" s="17"/>
      <c r="M21" s="12"/>
      <c r="N21" s="12"/>
      <c r="O21" s="12"/>
      <c r="P21" s="12"/>
      <c r="Q21" s="12"/>
      <c r="R21" s="28"/>
      <c r="S21" s="12"/>
      <c r="T21" s="12"/>
      <c r="U21" s="12"/>
      <c r="V21" s="20"/>
      <c r="W21" s="20"/>
      <c r="X21" s="23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31"/>
      <c r="AV21" s="36"/>
      <c r="AW21" s="18"/>
      <c r="AX21" s="17"/>
      <c r="AY21" s="17"/>
      <c r="AZ21" s="12"/>
      <c r="BA21" s="12"/>
      <c r="BB21" s="24"/>
    </row>
    <row r="22" spans="1:54" s="10" customFormat="1" x14ac:dyDescent="0.25">
      <c r="A22" s="17"/>
      <c r="B22" s="17"/>
      <c r="C22" s="17"/>
      <c r="D22" s="18"/>
      <c r="E22" s="12"/>
      <c r="F22" s="12"/>
      <c r="G22" s="12"/>
      <c r="H22" s="12"/>
      <c r="I22" s="12"/>
      <c r="J22" s="12"/>
      <c r="K22" s="12"/>
      <c r="L22" s="17"/>
      <c r="M22" s="12"/>
      <c r="N22" s="12"/>
      <c r="O22" s="12"/>
      <c r="P22" s="12"/>
      <c r="Q22" s="12"/>
      <c r="R22" s="28"/>
      <c r="S22" s="12"/>
      <c r="T22" s="12"/>
      <c r="U22" s="12"/>
      <c r="V22" s="20"/>
      <c r="W22" s="20"/>
      <c r="X22" s="23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31"/>
      <c r="AV22" s="36"/>
      <c r="AW22" s="18"/>
      <c r="AX22" s="17"/>
      <c r="AY22" s="17"/>
      <c r="AZ22" s="12"/>
      <c r="BA22" s="12"/>
      <c r="BB22" s="24"/>
    </row>
    <row r="23" spans="1:54" s="10" customFormat="1" x14ac:dyDescent="0.25">
      <c r="A23" s="17"/>
      <c r="B23" s="17"/>
      <c r="C23" s="17"/>
      <c r="D23" s="18"/>
      <c r="E23" s="12"/>
      <c r="F23" s="12"/>
      <c r="G23" s="12"/>
      <c r="H23" s="12"/>
      <c r="I23" s="12"/>
      <c r="J23" s="12"/>
      <c r="K23" s="12"/>
      <c r="L23" s="17"/>
      <c r="M23" s="12"/>
      <c r="N23" s="12"/>
      <c r="O23" s="12"/>
      <c r="P23" s="12"/>
      <c r="Q23" s="12"/>
      <c r="R23" s="28"/>
      <c r="S23" s="12"/>
      <c r="T23" s="12"/>
      <c r="U23" s="12"/>
      <c r="V23" s="20"/>
      <c r="W23" s="20"/>
      <c r="X23" s="2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31"/>
      <c r="AV23" s="36"/>
      <c r="AW23" s="18"/>
      <c r="AX23" s="17"/>
      <c r="AY23" s="17"/>
      <c r="AZ23" s="12"/>
      <c r="BA23" s="12"/>
      <c r="BB23" s="24"/>
    </row>
    <row r="24" spans="1:54" s="10" customFormat="1" x14ac:dyDescent="0.25">
      <c r="A24" s="17"/>
      <c r="B24" s="17"/>
      <c r="C24" s="17"/>
      <c r="D24" s="18"/>
      <c r="E24" s="12"/>
      <c r="F24" s="12"/>
      <c r="G24" s="12"/>
      <c r="H24" s="12"/>
      <c r="I24" s="12"/>
      <c r="J24" s="12"/>
      <c r="K24" s="12"/>
      <c r="L24" s="17"/>
      <c r="M24" s="12"/>
      <c r="N24" s="12"/>
      <c r="O24" s="12"/>
      <c r="P24" s="12"/>
      <c r="Q24" s="12"/>
      <c r="R24" s="28"/>
      <c r="S24" s="12"/>
      <c r="T24" s="12"/>
      <c r="U24" s="12"/>
      <c r="V24" s="20"/>
      <c r="W24" s="20"/>
      <c r="X24" s="2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31"/>
      <c r="AV24" s="36"/>
      <c r="AW24" s="18"/>
      <c r="AX24" s="17"/>
      <c r="AY24" s="17"/>
      <c r="AZ24" s="12"/>
      <c r="BA24" s="12"/>
      <c r="BB24" s="24"/>
    </row>
    <row r="25" spans="1:54" s="10" customFormat="1" x14ac:dyDescent="0.25">
      <c r="A25" s="17"/>
      <c r="B25" s="17"/>
      <c r="C25" s="17"/>
      <c r="D25" s="18"/>
      <c r="E25" s="12"/>
      <c r="F25" s="12"/>
      <c r="G25" s="12"/>
      <c r="H25" s="12"/>
      <c r="I25" s="12"/>
      <c r="J25" s="12"/>
      <c r="K25" s="12"/>
      <c r="L25" s="17"/>
      <c r="M25" s="12"/>
      <c r="N25" s="12"/>
      <c r="O25" s="12"/>
      <c r="P25" s="12"/>
      <c r="Q25" s="12"/>
      <c r="R25" s="28"/>
      <c r="S25" s="12"/>
      <c r="T25" s="12"/>
      <c r="U25" s="12"/>
      <c r="V25" s="20"/>
      <c r="W25" s="20"/>
      <c r="X25" s="2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31"/>
      <c r="AV25" s="36"/>
      <c r="AW25" s="18"/>
      <c r="AX25" s="17"/>
      <c r="AY25" s="17"/>
      <c r="AZ25" s="12"/>
      <c r="BA25" s="12"/>
      <c r="BB25" s="24"/>
    </row>
    <row r="26" spans="1:54" s="10" customFormat="1" x14ac:dyDescent="0.25">
      <c r="A26" s="17"/>
      <c r="B26" s="17"/>
      <c r="C26" s="17"/>
      <c r="D26" s="18"/>
      <c r="E26" s="12"/>
      <c r="F26" s="12"/>
      <c r="G26" s="12"/>
      <c r="H26" s="12"/>
      <c r="I26" s="12"/>
      <c r="J26" s="12"/>
      <c r="K26" s="12"/>
      <c r="L26" s="17"/>
      <c r="M26" s="12"/>
      <c r="N26" s="12"/>
      <c r="O26" s="12"/>
      <c r="P26" s="12"/>
      <c r="Q26" s="12"/>
      <c r="R26" s="28"/>
      <c r="S26" s="12"/>
      <c r="T26" s="12"/>
      <c r="U26" s="12"/>
      <c r="V26" s="20"/>
      <c r="W26" s="20"/>
      <c r="X26" s="2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31"/>
      <c r="AV26" s="36"/>
      <c r="AW26" s="18"/>
      <c r="AX26" s="17"/>
      <c r="AY26" s="17"/>
      <c r="AZ26" s="12"/>
      <c r="BA26" s="12"/>
      <c r="BB26" s="24"/>
    </row>
    <row r="27" spans="1:54" s="10" customFormat="1" x14ac:dyDescent="0.25">
      <c r="A27" s="17"/>
      <c r="B27" s="17"/>
      <c r="C27" s="17"/>
      <c r="D27" s="18"/>
      <c r="E27" s="12"/>
      <c r="F27" s="12"/>
      <c r="G27" s="12"/>
      <c r="H27" s="12"/>
      <c r="I27" s="12"/>
      <c r="J27" s="12"/>
      <c r="K27" s="12"/>
      <c r="L27" s="17"/>
      <c r="M27" s="12"/>
      <c r="N27" s="12"/>
      <c r="O27" s="12"/>
      <c r="P27" s="12"/>
      <c r="Q27" s="12"/>
      <c r="R27" s="28"/>
      <c r="S27" s="12"/>
      <c r="T27" s="12"/>
      <c r="U27" s="12"/>
      <c r="V27" s="20"/>
      <c r="W27" s="20"/>
      <c r="X27" s="23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31"/>
      <c r="AV27" s="36"/>
      <c r="AW27" s="18"/>
      <c r="AX27" s="17"/>
      <c r="AY27" s="17"/>
      <c r="AZ27" s="12"/>
      <c r="BA27" s="12"/>
      <c r="BB27" s="24"/>
    </row>
    <row r="28" spans="1:54" s="10" customFormat="1" x14ac:dyDescent="0.25">
      <c r="A28" s="17"/>
      <c r="B28" s="17"/>
      <c r="C28" s="17"/>
      <c r="D28" s="18"/>
      <c r="E28" s="12"/>
      <c r="F28" s="12"/>
      <c r="G28" s="12"/>
      <c r="H28" s="12"/>
      <c r="I28" s="12"/>
      <c r="J28" s="12"/>
      <c r="K28" s="12"/>
      <c r="L28" s="17"/>
      <c r="M28" s="12"/>
      <c r="N28" s="12"/>
      <c r="O28" s="12"/>
      <c r="P28" s="12"/>
      <c r="Q28" s="12"/>
      <c r="R28" s="28"/>
      <c r="S28" s="12"/>
      <c r="T28" s="12"/>
      <c r="U28" s="12"/>
      <c r="V28" s="20"/>
      <c r="W28" s="20"/>
      <c r="X28" s="23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31"/>
      <c r="AV28" s="36"/>
      <c r="AW28" s="18"/>
      <c r="AX28" s="17"/>
      <c r="AY28" s="17"/>
      <c r="AZ28" s="12"/>
      <c r="BA28" s="12"/>
      <c r="BB28" s="24"/>
    </row>
    <row r="29" spans="1:54" s="10" customFormat="1" x14ac:dyDescent="0.25">
      <c r="A29" s="17"/>
      <c r="B29" s="17"/>
      <c r="C29" s="17"/>
      <c r="D29" s="18"/>
      <c r="E29" s="12"/>
      <c r="F29" s="12"/>
      <c r="G29" s="12"/>
      <c r="H29" s="12"/>
      <c r="I29" s="12"/>
      <c r="J29" s="12"/>
      <c r="K29" s="12"/>
      <c r="L29" s="17"/>
      <c r="M29" s="12"/>
      <c r="N29" s="12"/>
      <c r="O29" s="12"/>
      <c r="P29" s="12"/>
      <c r="Q29" s="12"/>
      <c r="R29" s="28"/>
      <c r="S29" s="12"/>
      <c r="T29" s="12"/>
      <c r="U29" s="12"/>
      <c r="V29" s="20"/>
      <c r="W29" s="20"/>
      <c r="X29" s="23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31"/>
      <c r="AV29" s="36"/>
      <c r="AW29" s="18"/>
      <c r="AX29" s="17"/>
      <c r="AY29" s="17"/>
      <c r="AZ29" s="12"/>
      <c r="BA29" s="12"/>
      <c r="BB29" s="24"/>
    </row>
    <row r="30" spans="1:54" s="10" customFormat="1" x14ac:dyDescent="0.25">
      <c r="A30" s="17"/>
      <c r="B30" s="17"/>
      <c r="C30" s="17"/>
      <c r="D30" s="18"/>
      <c r="E30" s="12"/>
      <c r="F30" s="12"/>
      <c r="G30" s="12"/>
      <c r="H30" s="12"/>
      <c r="I30" s="12"/>
      <c r="J30" s="12"/>
      <c r="K30" s="12"/>
      <c r="L30" s="17"/>
      <c r="M30" s="12"/>
      <c r="N30" s="12"/>
      <c r="O30" s="12"/>
      <c r="P30" s="12"/>
      <c r="Q30" s="12"/>
      <c r="R30" s="28"/>
      <c r="S30" s="12"/>
      <c r="T30" s="12"/>
      <c r="U30" s="12"/>
      <c r="V30" s="20"/>
      <c r="W30" s="20"/>
      <c r="X30" s="2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31"/>
      <c r="AV30" s="36"/>
      <c r="AW30" s="18"/>
      <c r="AX30" s="17"/>
      <c r="AY30" s="17"/>
      <c r="AZ30" s="12"/>
      <c r="BA30" s="12"/>
      <c r="BB30" s="24"/>
    </row>
    <row r="31" spans="1:54" s="10" customFormat="1" x14ac:dyDescent="0.25">
      <c r="A31" s="17"/>
      <c r="B31" s="17"/>
      <c r="C31" s="17"/>
      <c r="D31" s="18"/>
      <c r="E31" s="12"/>
      <c r="F31" s="12"/>
      <c r="G31" s="12"/>
      <c r="H31" s="12"/>
      <c r="I31" s="12"/>
      <c r="J31" s="12"/>
      <c r="K31" s="12"/>
      <c r="L31" s="17"/>
      <c r="M31" s="12"/>
      <c r="N31" s="12"/>
      <c r="O31" s="12"/>
      <c r="P31" s="12"/>
      <c r="Q31" s="12"/>
      <c r="R31" s="28"/>
      <c r="S31" s="12"/>
      <c r="T31" s="12"/>
      <c r="U31" s="12"/>
      <c r="V31" s="20"/>
      <c r="W31" s="20"/>
      <c r="X31" s="2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31"/>
      <c r="AV31" s="36"/>
      <c r="AW31" s="18"/>
      <c r="AX31" s="17"/>
      <c r="AY31" s="17"/>
      <c r="AZ31" s="12"/>
      <c r="BA31" s="12"/>
      <c r="BB31" s="24"/>
    </row>
    <row r="32" spans="1:54" s="10" customFormat="1" x14ac:dyDescent="0.25">
      <c r="A32" s="17"/>
      <c r="B32" s="17"/>
      <c r="C32" s="17"/>
      <c r="D32" s="18"/>
      <c r="E32" s="12"/>
      <c r="F32" s="12"/>
      <c r="G32" s="12"/>
      <c r="H32" s="12"/>
      <c r="I32" s="12"/>
      <c r="J32" s="12"/>
      <c r="K32" s="12"/>
      <c r="L32" s="17"/>
      <c r="M32" s="12"/>
      <c r="N32" s="12"/>
      <c r="O32" s="12"/>
      <c r="P32" s="12"/>
      <c r="Q32" s="12"/>
      <c r="R32" s="28"/>
      <c r="S32" s="12"/>
      <c r="T32" s="12"/>
      <c r="U32" s="12"/>
      <c r="V32" s="20"/>
      <c r="W32" s="20"/>
      <c r="X32" s="2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31"/>
      <c r="AV32" s="36"/>
      <c r="AW32" s="18"/>
      <c r="AX32" s="17"/>
      <c r="AY32" s="17"/>
      <c r="AZ32" s="12"/>
      <c r="BA32" s="12"/>
      <c r="BB32" s="24"/>
    </row>
    <row r="33" spans="1:54" s="10" customFormat="1" x14ac:dyDescent="0.25">
      <c r="A33" s="17"/>
      <c r="B33" s="17"/>
      <c r="C33" s="17"/>
      <c r="D33" s="18"/>
      <c r="E33" s="12"/>
      <c r="F33" s="12"/>
      <c r="G33" s="12"/>
      <c r="H33" s="12"/>
      <c r="I33" s="12"/>
      <c r="J33" s="12"/>
      <c r="K33" s="12"/>
      <c r="L33" s="17"/>
      <c r="M33" s="12"/>
      <c r="N33" s="12"/>
      <c r="O33" s="12"/>
      <c r="P33" s="12"/>
      <c r="Q33" s="12"/>
      <c r="R33" s="28"/>
      <c r="S33" s="12"/>
      <c r="T33" s="12"/>
      <c r="U33" s="12"/>
      <c r="V33" s="20"/>
      <c r="W33" s="20"/>
      <c r="X33" s="2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31"/>
      <c r="AV33" s="36"/>
      <c r="AW33" s="18"/>
      <c r="AX33" s="17"/>
      <c r="AY33" s="17"/>
      <c r="AZ33" s="12"/>
      <c r="BA33" s="12"/>
      <c r="BB33" s="24"/>
    </row>
    <row r="34" spans="1:54" s="10" customFormat="1" x14ac:dyDescent="0.25">
      <c r="A34" s="17"/>
      <c r="B34" s="17"/>
      <c r="C34" s="17"/>
      <c r="D34" s="18"/>
      <c r="E34" s="12"/>
      <c r="F34" s="12"/>
      <c r="G34" s="12"/>
      <c r="H34" s="12"/>
      <c r="I34" s="12"/>
      <c r="J34" s="12"/>
      <c r="K34" s="12"/>
      <c r="L34" s="17"/>
      <c r="M34" s="12"/>
      <c r="N34" s="12"/>
      <c r="O34" s="12"/>
      <c r="P34" s="12"/>
      <c r="Q34" s="12"/>
      <c r="R34" s="28"/>
      <c r="S34" s="12"/>
      <c r="T34" s="12"/>
      <c r="U34" s="12"/>
      <c r="V34" s="20"/>
      <c r="W34" s="20"/>
      <c r="X34" s="2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31"/>
      <c r="AV34" s="36"/>
      <c r="AW34" s="18"/>
      <c r="AX34" s="17"/>
      <c r="AY34" s="17"/>
      <c r="AZ34" s="12"/>
      <c r="BA34" s="12"/>
      <c r="BB34" s="24"/>
    </row>
    <row r="35" spans="1:54" s="10" customFormat="1" x14ac:dyDescent="0.25">
      <c r="A35" s="17"/>
      <c r="B35" s="17"/>
      <c r="C35" s="17"/>
      <c r="D35" s="18"/>
      <c r="E35" s="12"/>
      <c r="F35" s="12"/>
      <c r="G35" s="12"/>
      <c r="H35" s="12"/>
      <c r="I35" s="12"/>
      <c r="J35" s="12"/>
      <c r="K35" s="12"/>
      <c r="L35" s="17"/>
      <c r="M35" s="12"/>
      <c r="N35" s="12"/>
      <c r="O35" s="12"/>
      <c r="P35" s="12"/>
      <c r="Q35" s="12"/>
      <c r="R35" s="28"/>
      <c r="S35" s="12"/>
      <c r="T35" s="12"/>
      <c r="U35" s="12"/>
      <c r="V35" s="20"/>
      <c r="W35" s="20"/>
      <c r="X35" s="23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31"/>
      <c r="AV35" s="36"/>
      <c r="AW35" s="18"/>
      <c r="AX35" s="17"/>
      <c r="AY35" s="17"/>
      <c r="AZ35" s="12"/>
      <c r="BA35" s="12"/>
      <c r="BB35" s="24"/>
    </row>
    <row r="36" spans="1:54" s="10" customFormat="1" x14ac:dyDescent="0.25">
      <c r="A36" s="17"/>
      <c r="B36" s="17"/>
      <c r="C36" s="17"/>
      <c r="D36" s="18"/>
      <c r="E36" s="12"/>
      <c r="F36" s="12"/>
      <c r="G36" s="12"/>
      <c r="H36" s="12"/>
      <c r="I36" s="12"/>
      <c r="J36" s="12"/>
      <c r="K36" s="12"/>
      <c r="L36" s="17"/>
      <c r="M36" s="12"/>
      <c r="N36" s="12"/>
      <c r="O36" s="12"/>
      <c r="P36" s="12"/>
      <c r="Q36" s="12"/>
      <c r="R36" s="28"/>
      <c r="S36" s="12"/>
      <c r="T36" s="12"/>
      <c r="U36" s="12"/>
      <c r="V36" s="20"/>
      <c r="W36" s="20"/>
      <c r="X36" s="2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31"/>
      <c r="AV36" s="36"/>
      <c r="AW36" s="18"/>
      <c r="AX36" s="17"/>
      <c r="AY36" s="17"/>
      <c r="AZ36" s="12"/>
      <c r="BA36" s="12"/>
      <c r="BB36" s="24"/>
    </row>
    <row r="37" spans="1:54" s="10" customFormat="1" x14ac:dyDescent="0.25">
      <c r="A37" s="17"/>
      <c r="B37" s="17"/>
      <c r="C37" s="17"/>
      <c r="D37" s="18"/>
      <c r="E37" s="12"/>
      <c r="F37" s="12"/>
      <c r="G37" s="12"/>
      <c r="H37" s="12"/>
      <c r="I37" s="12"/>
      <c r="J37" s="12"/>
      <c r="K37" s="12"/>
      <c r="L37" s="17"/>
      <c r="M37" s="12"/>
      <c r="N37" s="12"/>
      <c r="O37" s="12"/>
      <c r="P37" s="12"/>
      <c r="Q37" s="12"/>
      <c r="R37" s="28"/>
      <c r="S37" s="12"/>
      <c r="T37" s="12"/>
      <c r="U37" s="12"/>
      <c r="V37" s="20"/>
      <c r="W37" s="20"/>
      <c r="X37" s="23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31"/>
      <c r="AV37" s="36"/>
      <c r="AW37" s="18"/>
      <c r="AX37" s="17"/>
      <c r="AY37" s="17"/>
      <c r="AZ37" s="12"/>
      <c r="BA37" s="12"/>
      <c r="BB37" s="24"/>
    </row>
    <row r="38" spans="1:54" s="10" customFormat="1" x14ac:dyDescent="0.25">
      <c r="A38" s="17"/>
      <c r="B38" s="17"/>
      <c r="C38" s="17"/>
      <c r="D38" s="18"/>
      <c r="E38" s="12"/>
      <c r="F38" s="12"/>
      <c r="G38" s="12"/>
      <c r="H38" s="12"/>
      <c r="I38" s="12"/>
      <c r="J38" s="12"/>
      <c r="K38" s="12"/>
      <c r="L38" s="17"/>
      <c r="M38" s="12"/>
      <c r="N38" s="12"/>
      <c r="O38" s="12"/>
      <c r="P38" s="12"/>
      <c r="Q38" s="12"/>
      <c r="R38" s="28"/>
      <c r="S38" s="12"/>
      <c r="T38" s="12"/>
      <c r="U38" s="12"/>
      <c r="V38" s="20"/>
      <c r="W38" s="20"/>
      <c r="X38" s="23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31"/>
      <c r="AV38" s="36"/>
      <c r="AW38" s="18"/>
      <c r="AX38" s="17"/>
      <c r="AY38" s="17"/>
      <c r="AZ38" s="12"/>
      <c r="BA38" s="12"/>
      <c r="BB38" s="24"/>
    </row>
    <row r="39" spans="1:54" s="10" customFormat="1" x14ac:dyDescent="0.25">
      <c r="A39" s="17"/>
      <c r="B39" s="17"/>
      <c r="C39" s="17"/>
      <c r="D39" s="18"/>
      <c r="E39" s="12"/>
      <c r="F39" s="12"/>
      <c r="G39" s="12"/>
      <c r="H39" s="12"/>
      <c r="I39" s="12"/>
      <c r="J39" s="12"/>
      <c r="K39" s="12"/>
      <c r="L39" s="17"/>
      <c r="M39" s="12"/>
      <c r="N39" s="12"/>
      <c r="O39" s="12"/>
      <c r="P39" s="12"/>
      <c r="Q39" s="12"/>
      <c r="R39" s="28"/>
      <c r="S39" s="12"/>
      <c r="T39" s="12"/>
      <c r="U39" s="12"/>
      <c r="V39" s="20"/>
      <c r="W39" s="20"/>
      <c r="X39" s="2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31"/>
      <c r="AV39" s="36"/>
      <c r="AW39" s="18"/>
      <c r="AX39" s="17"/>
      <c r="AY39" s="17"/>
      <c r="AZ39" s="12"/>
      <c r="BA39" s="12"/>
      <c r="BB39" s="24"/>
    </row>
    <row r="40" spans="1:54" s="10" customFormat="1" x14ac:dyDescent="0.25">
      <c r="A40" s="17"/>
      <c r="B40" s="17"/>
      <c r="C40" s="17"/>
      <c r="D40" s="18"/>
      <c r="E40" s="12"/>
      <c r="F40" s="12"/>
      <c r="G40" s="12"/>
      <c r="H40" s="12"/>
      <c r="I40" s="12"/>
      <c r="J40" s="12"/>
      <c r="K40" s="12"/>
      <c r="L40" s="17"/>
      <c r="M40" s="12"/>
      <c r="N40" s="12"/>
      <c r="O40" s="12"/>
      <c r="P40" s="12"/>
      <c r="Q40" s="12"/>
      <c r="R40" s="28"/>
      <c r="S40" s="12"/>
      <c r="T40" s="12"/>
      <c r="U40" s="12"/>
      <c r="V40" s="20"/>
      <c r="W40" s="20"/>
      <c r="X40" s="2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31"/>
      <c r="AV40" s="36"/>
      <c r="AW40" s="18"/>
      <c r="AX40" s="17"/>
      <c r="AY40" s="17"/>
      <c r="AZ40" s="12"/>
      <c r="BA40" s="12"/>
      <c r="BB40" s="24"/>
    </row>
    <row r="41" spans="1:54" s="10" customFormat="1" x14ac:dyDescent="0.25">
      <c r="A41" s="17"/>
      <c r="B41" s="17"/>
      <c r="C41" s="17"/>
      <c r="D41" s="18"/>
      <c r="E41" s="12"/>
      <c r="F41" s="12"/>
      <c r="G41" s="12"/>
      <c r="H41" s="12"/>
      <c r="I41" s="12"/>
      <c r="J41" s="12"/>
      <c r="K41" s="12"/>
      <c r="L41" s="17"/>
      <c r="M41" s="12"/>
      <c r="N41" s="12"/>
      <c r="O41" s="12"/>
      <c r="P41" s="12"/>
      <c r="Q41" s="12"/>
      <c r="R41" s="28"/>
      <c r="S41" s="12"/>
      <c r="T41" s="12"/>
      <c r="U41" s="12"/>
      <c r="V41" s="20"/>
      <c r="W41" s="20"/>
      <c r="X41" s="2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31"/>
      <c r="AV41" s="36"/>
      <c r="AW41" s="18"/>
      <c r="AX41" s="17"/>
      <c r="AY41" s="17"/>
      <c r="AZ41" s="12"/>
      <c r="BA41" s="12"/>
      <c r="BB41" s="24"/>
    </row>
    <row r="42" spans="1:54" s="10" customFormat="1" x14ac:dyDescent="0.25">
      <c r="A42" s="17"/>
      <c r="B42" s="17"/>
      <c r="C42" s="17"/>
      <c r="D42" s="18"/>
      <c r="E42" s="12"/>
      <c r="F42" s="12"/>
      <c r="G42" s="12"/>
      <c r="H42" s="12"/>
      <c r="I42" s="12"/>
      <c r="J42" s="12"/>
      <c r="K42" s="12"/>
      <c r="L42" s="17"/>
      <c r="M42" s="12"/>
      <c r="N42" s="12"/>
      <c r="O42" s="12"/>
      <c r="P42" s="12"/>
      <c r="Q42" s="12"/>
      <c r="R42" s="28"/>
      <c r="S42" s="12"/>
      <c r="T42" s="12"/>
      <c r="U42" s="12"/>
      <c r="V42" s="20"/>
      <c r="W42" s="20"/>
      <c r="X42" s="2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31"/>
      <c r="AV42" s="36"/>
      <c r="AW42" s="18"/>
      <c r="AX42" s="17"/>
      <c r="AY42" s="17"/>
      <c r="AZ42" s="12"/>
      <c r="BA42" s="12"/>
      <c r="BB42" s="24"/>
    </row>
    <row r="43" spans="1:54" s="10" customFormat="1" x14ac:dyDescent="0.25">
      <c r="A43" s="17"/>
      <c r="B43" s="17"/>
      <c r="C43" s="17"/>
      <c r="D43" s="18"/>
      <c r="E43" s="12"/>
      <c r="F43" s="12"/>
      <c r="G43" s="12"/>
      <c r="H43" s="12"/>
      <c r="I43" s="12"/>
      <c r="J43" s="12"/>
      <c r="K43" s="12"/>
      <c r="L43" s="17"/>
      <c r="M43" s="12"/>
      <c r="N43" s="12"/>
      <c r="O43" s="12"/>
      <c r="P43" s="12"/>
      <c r="Q43" s="12"/>
      <c r="R43" s="28"/>
      <c r="S43" s="12"/>
      <c r="T43" s="12"/>
      <c r="U43" s="12"/>
      <c r="V43" s="20"/>
      <c r="W43" s="20"/>
      <c r="X43" s="2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31"/>
      <c r="AV43" s="36"/>
      <c r="AW43" s="18"/>
      <c r="AX43" s="17"/>
      <c r="AY43" s="17"/>
      <c r="AZ43" s="12"/>
      <c r="BA43" s="12"/>
      <c r="BB43" s="24"/>
    </row>
    <row r="44" spans="1:54" s="10" customFormat="1" x14ac:dyDescent="0.25">
      <c r="A44" s="17"/>
      <c r="B44" s="17"/>
      <c r="C44" s="17"/>
      <c r="D44" s="18"/>
      <c r="E44" s="12"/>
      <c r="F44" s="12"/>
      <c r="G44" s="12"/>
      <c r="H44" s="12"/>
      <c r="I44" s="12"/>
      <c r="J44" s="12"/>
      <c r="K44" s="12"/>
      <c r="L44" s="17"/>
      <c r="M44" s="12"/>
      <c r="N44" s="12"/>
      <c r="O44" s="12"/>
      <c r="P44" s="12"/>
      <c r="Q44" s="12"/>
      <c r="R44" s="28"/>
      <c r="S44" s="12"/>
      <c r="T44" s="12"/>
      <c r="U44" s="12"/>
      <c r="V44" s="20"/>
      <c r="W44" s="20"/>
      <c r="X44" s="2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31"/>
      <c r="AV44" s="36"/>
      <c r="AW44" s="18"/>
      <c r="AX44" s="17"/>
      <c r="AY44" s="17"/>
      <c r="AZ44" s="12"/>
      <c r="BA44" s="12"/>
      <c r="BB44" s="24"/>
    </row>
    <row r="45" spans="1:54" s="10" customFormat="1" x14ac:dyDescent="0.25">
      <c r="A45" s="17"/>
      <c r="B45" s="17"/>
      <c r="C45" s="17"/>
      <c r="D45" s="18"/>
      <c r="E45" s="12"/>
      <c r="F45" s="12"/>
      <c r="G45" s="12"/>
      <c r="H45" s="12"/>
      <c r="I45" s="12"/>
      <c r="J45" s="12"/>
      <c r="K45" s="12"/>
      <c r="L45" s="17"/>
      <c r="M45" s="12"/>
      <c r="N45" s="12"/>
      <c r="O45" s="12"/>
      <c r="P45" s="12"/>
      <c r="Q45" s="12"/>
      <c r="R45" s="28"/>
      <c r="S45" s="12"/>
      <c r="T45" s="12"/>
      <c r="U45" s="12"/>
      <c r="V45" s="20"/>
      <c r="W45" s="20"/>
      <c r="X45" s="2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31"/>
      <c r="AV45" s="36"/>
      <c r="AW45" s="18"/>
      <c r="AX45" s="17"/>
      <c r="AY45" s="17"/>
      <c r="AZ45" s="12"/>
      <c r="BA45" s="12"/>
      <c r="BB45" s="24"/>
    </row>
    <row r="46" spans="1:54" s="10" customFormat="1" x14ac:dyDescent="0.25">
      <c r="A46" s="17"/>
      <c r="B46" s="17"/>
      <c r="C46" s="17"/>
      <c r="D46" s="18"/>
      <c r="E46" s="12"/>
      <c r="F46" s="12"/>
      <c r="G46" s="12"/>
      <c r="H46" s="12"/>
      <c r="I46" s="12"/>
      <c r="J46" s="12"/>
      <c r="K46" s="12"/>
      <c r="L46" s="17"/>
      <c r="M46" s="12"/>
      <c r="N46" s="12"/>
      <c r="O46" s="12"/>
      <c r="P46" s="12"/>
      <c r="Q46" s="12"/>
      <c r="R46" s="28"/>
      <c r="S46" s="12"/>
      <c r="T46" s="12"/>
      <c r="U46" s="12"/>
      <c r="V46" s="20"/>
      <c r="W46" s="20"/>
      <c r="X46" s="2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31"/>
      <c r="AV46" s="36"/>
      <c r="AW46" s="18"/>
      <c r="AX46" s="17"/>
      <c r="AY46" s="17"/>
      <c r="AZ46" s="12"/>
      <c r="BA46" s="12"/>
      <c r="BB46" s="24"/>
    </row>
    <row r="47" spans="1:54" s="10" customFormat="1" x14ac:dyDescent="0.25">
      <c r="A47" s="17"/>
      <c r="B47" s="17"/>
      <c r="C47" s="17"/>
      <c r="D47" s="18"/>
      <c r="E47" s="12"/>
      <c r="F47" s="12"/>
      <c r="G47" s="12"/>
      <c r="H47" s="12"/>
      <c r="I47" s="12"/>
      <c r="J47" s="12"/>
      <c r="K47" s="12"/>
      <c r="L47" s="17"/>
      <c r="M47" s="12"/>
      <c r="N47" s="12"/>
      <c r="O47" s="12"/>
      <c r="P47" s="12"/>
      <c r="Q47" s="12"/>
      <c r="R47" s="28"/>
      <c r="S47" s="12"/>
      <c r="T47" s="12"/>
      <c r="U47" s="12"/>
      <c r="V47" s="20"/>
      <c r="W47" s="20"/>
      <c r="X47" s="2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31"/>
      <c r="AV47" s="36"/>
      <c r="AW47" s="18"/>
      <c r="AX47" s="17"/>
      <c r="AY47" s="17"/>
      <c r="AZ47" s="12"/>
      <c r="BA47" s="12"/>
      <c r="BB47" s="24"/>
    </row>
    <row r="48" spans="1:54" s="10" customFormat="1" x14ac:dyDescent="0.25">
      <c r="A48" s="17"/>
      <c r="B48" s="17"/>
      <c r="C48" s="17"/>
      <c r="D48" s="18"/>
      <c r="E48" s="12"/>
      <c r="F48" s="12"/>
      <c r="G48" s="12"/>
      <c r="H48" s="12"/>
      <c r="I48" s="12"/>
      <c r="J48" s="12"/>
      <c r="K48" s="12"/>
      <c r="L48" s="17"/>
      <c r="M48" s="12"/>
      <c r="N48" s="12"/>
      <c r="O48" s="12"/>
      <c r="P48" s="12"/>
      <c r="Q48" s="12"/>
      <c r="R48" s="28"/>
      <c r="S48" s="12"/>
      <c r="T48" s="12"/>
      <c r="U48" s="12"/>
      <c r="V48" s="20"/>
      <c r="W48" s="20"/>
      <c r="X48" s="23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31"/>
      <c r="AV48" s="36"/>
      <c r="AW48" s="18"/>
      <c r="AX48" s="17"/>
      <c r="AY48" s="17"/>
      <c r="AZ48" s="12"/>
      <c r="BA48" s="12"/>
      <c r="BB48" s="24"/>
    </row>
    <row r="49" spans="1:54" s="10" customFormat="1" x14ac:dyDescent="0.25">
      <c r="A49" s="17"/>
      <c r="B49" s="17"/>
      <c r="C49" s="17"/>
      <c r="D49" s="18"/>
      <c r="E49" s="12"/>
      <c r="F49" s="12"/>
      <c r="G49" s="12"/>
      <c r="H49" s="12"/>
      <c r="I49" s="12"/>
      <c r="J49" s="12"/>
      <c r="K49" s="12"/>
      <c r="L49" s="17"/>
      <c r="M49" s="12"/>
      <c r="N49" s="12"/>
      <c r="O49" s="12"/>
      <c r="P49" s="12"/>
      <c r="Q49" s="12"/>
      <c r="R49" s="28"/>
      <c r="S49" s="12"/>
      <c r="T49" s="12"/>
      <c r="U49" s="12"/>
      <c r="V49" s="20"/>
      <c r="W49" s="20"/>
      <c r="X49" s="2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31"/>
      <c r="AV49" s="36"/>
      <c r="AW49" s="18"/>
      <c r="AX49" s="17"/>
      <c r="AY49" s="17"/>
      <c r="AZ49" s="12"/>
      <c r="BA49" s="12"/>
      <c r="BB49" s="24"/>
    </row>
    <row r="50" spans="1:54" s="10" customFormat="1" x14ac:dyDescent="0.25">
      <c r="A50" s="17"/>
      <c r="B50" s="17"/>
      <c r="C50" s="17"/>
      <c r="D50" s="18"/>
      <c r="E50" s="12"/>
      <c r="F50" s="12"/>
      <c r="G50" s="12"/>
      <c r="H50" s="12"/>
      <c r="I50" s="12"/>
      <c r="J50" s="12"/>
      <c r="K50" s="12"/>
      <c r="L50" s="17"/>
      <c r="M50" s="12"/>
      <c r="N50" s="12"/>
      <c r="O50" s="12"/>
      <c r="P50" s="12"/>
      <c r="Q50" s="12"/>
      <c r="R50" s="28"/>
      <c r="S50" s="12"/>
      <c r="T50" s="12"/>
      <c r="U50" s="12"/>
      <c r="V50" s="20"/>
      <c r="W50" s="20"/>
      <c r="X50" s="2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31"/>
      <c r="AV50" s="36"/>
      <c r="AW50" s="18"/>
      <c r="AX50" s="17"/>
      <c r="AY50" s="17"/>
      <c r="AZ50" s="12"/>
      <c r="BA50" s="12"/>
      <c r="BB50" s="24"/>
    </row>
    <row r="51" spans="1:54" x14ac:dyDescent="0.25">
      <c r="A51" s="17"/>
      <c r="B51" s="17"/>
      <c r="C51" s="17"/>
      <c r="D51" s="19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29"/>
      <c r="S51" s="17"/>
      <c r="T51" s="17"/>
      <c r="U51" s="17"/>
      <c r="V51" s="20"/>
      <c r="W51" s="20"/>
      <c r="X51" s="23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32"/>
      <c r="AV51" s="36"/>
      <c r="AW51" s="19"/>
      <c r="AX51" s="17"/>
      <c r="AY51" s="17"/>
      <c r="AZ51" s="12"/>
      <c r="BA51" s="12"/>
      <c r="BB51" s="24"/>
    </row>
    <row r="52" spans="1:54" x14ac:dyDescent="0.25">
      <c r="A52" s="17"/>
      <c r="B52" s="17"/>
      <c r="C52" s="17"/>
      <c r="D52" s="19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29"/>
      <c r="S52" s="17"/>
      <c r="T52" s="17"/>
      <c r="U52" s="17"/>
      <c r="V52" s="20"/>
      <c r="W52" s="20"/>
      <c r="X52" s="22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32"/>
      <c r="AV52" s="36"/>
      <c r="AW52" s="19"/>
      <c r="AX52" s="17"/>
      <c r="AY52" s="17"/>
      <c r="AZ52" s="12"/>
      <c r="BA52" s="12"/>
      <c r="BB52" s="24"/>
    </row>
    <row r="53" spans="1:54" x14ac:dyDescent="0.25">
      <c r="A53" s="17"/>
      <c r="B53" s="17"/>
      <c r="C53" s="17"/>
      <c r="D53" s="19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29"/>
      <c r="S53" s="17"/>
      <c r="T53" s="17"/>
      <c r="U53" s="17"/>
      <c r="V53" s="20"/>
      <c r="W53" s="20"/>
      <c r="X53" s="22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32"/>
      <c r="AV53" s="36"/>
      <c r="AW53" s="19"/>
      <c r="AX53" s="17"/>
      <c r="AY53" s="17"/>
      <c r="AZ53" s="12"/>
      <c r="BA53" s="12"/>
      <c r="BB53" s="24"/>
    </row>
    <row r="54" spans="1:54" x14ac:dyDescent="0.25">
      <c r="A54" s="17"/>
      <c r="B54" s="17"/>
      <c r="C54" s="17"/>
      <c r="D54" s="19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29"/>
      <c r="S54" s="17"/>
      <c r="T54" s="17"/>
      <c r="U54" s="17"/>
      <c r="V54" s="20"/>
      <c r="W54" s="20"/>
      <c r="X54" s="22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32"/>
      <c r="AV54" s="36"/>
      <c r="AW54" s="19"/>
      <c r="AX54" s="17"/>
      <c r="AY54" s="17"/>
      <c r="AZ54" s="12"/>
      <c r="BA54" s="12"/>
      <c r="BB54" s="24"/>
    </row>
    <row r="55" spans="1:54" x14ac:dyDescent="0.25">
      <c r="A55" s="17"/>
      <c r="B55" s="17"/>
      <c r="C55" s="17"/>
      <c r="D55" s="19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29"/>
      <c r="S55" s="17"/>
      <c r="T55" s="17"/>
      <c r="U55" s="17"/>
      <c r="V55" s="20"/>
      <c r="W55" s="20"/>
      <c r="X55" s="22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32"/>
      <c r="AV55" s="36"/>
      <c r="AW55" s="19"/>
      <c r="AX55" s="17"/>
      <c r="AY55" s="17"/>
      <c r="AZ55" s="12"/>
      <c r="BA55" s="12"/>
      <c r="BB55" s="24"/>
    </row>
    <row r="56" spans="1:54" x14ac:dyDescent="0.25">
      <c r="A56" s="17"/>
      <c r="B56" s="17"/>
      <c r="C56" s="17"/>
      <c r="D56" s="19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29"/>
      <c r="S56" s="17"/>
      <c r="T56" s="17"/>
      <c r="U56" s="17"/>
      <c r="V56" s="20"/>
      <c r="W56" s="20"/>
      <c r="X56" s="22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32"/>
      <c r="AV56" s="36"/>
      <c r="AW56" s="19"/>
      <c r="AX56" s="17"/>
      <c r="AY56" s="17"/>
      <c r="AZ56" s="12"/>
      <c r="BA56" s="12"/>
      <c r="BB56" s="24"/>
    </row>
    <row r="57" spans="1:54" x14ac:dyDescent="0.25">
      <c r="A57" s="17"/>
      <c r="B57" s="17"/>
      <c r="C57" s="17"/>
      <c r="D57" s="19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29"/>
      <c r="S57" s="17"/>
      <c r="T57" s="17"/>
      <c r="U57" s="17"/>
      <c r="V57" s="20"/>
      <c r="W57" s="20"/>
      <c r="X57" s="22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32"/>
      <c r="AV57" s="36"/>
      <c r="AW57" s="19"/>
      <c r="AX57" s="17"/>
      <c r="AY57" s="17"/>
      <c r="AZ57" s="12"/>
      <c r="BA57" s="12"/>
      <c r="BB57" s="24"/>
    </row>
    <row r="58" spans="1:54" x14ac:dyDescent="0.25">
      <c r="A58" s="17"/>
      <c r="B58" s="17"/>
      <c r="C58" s="17"/>
      <c r="D58" s="19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29"/>
      <c r="S58" s="17"/>
      <c r="T58" s="17"/>
      <c r="U58" s="17"/>
      <c r="V58" s="20"/>
      <c r="W58" s="20"/>
      <c r="X58" s="22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32"/>
      <c r="AV58" s="36"/>
      <c r="AW58" s="19"/>
      <c r="AX58" s="17"/>
      <c r="AY58" s="17"/>
      <c r="AZ58" s="12"/>
      <c r="BA58" s="12"/>
      <c r="BB58" s="24"/>
    </row>
    <row r="59" spans="1:54" x14ac:dyDescent="0.25">
      <c r="A59" s="17"/>
      <c r="B59" s="17"/>
      <c r="C59" s="17"/>
      <c r="D59" s="1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29"/>
      <c r="S59" s="17"/>
      <c r="T59" s="17"/>
      <c r="U59" s="17"/>
      <c r="V59" s="20"/>
      <c r="W59" s="20"/>
      <c r="X59" s="22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32"/>
      <c r="AV59" s="36"/>
      <c r="AW59" s="19"/>
      <c r="AX59" s="17"/>
      <c r="AY59" s="17"/>
      <c r="AZ59" s="12"/>
      <c r="BA59" s="12"/>
      <c r="BB59" s="24"/>
    </row>
    <row r="60" spans="1:54" x14ac:dyDescent="0.25">
      <c r="A60" s="17"/>
      <c r="B60" s="17"/>
      <c r="C60" s="17"/>
      <c r="D60" s="19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29"/>
      <c r="S60" s="17"/>
      <c r="T60" s="17"/>
      <c r="U60" s="17"/>
      <c r="V60" s="20"/>
      <c r="W60" s="20"/>
      <c r="X60" s="22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32"/>
      <c r="AV60" s="36"/>
      <c r="AW60" s="19"/>
      <c r="AX60" s="17"/>
      <c r="AY60" s="17"/>
      <c r="AZ60" s="12"/>
      <c r="BA60" s="12"/>
      <c r="BB60" s="24"/>
    </row>
    <row r="61" spans="1:54" x14ac:dyDescent="0.25">
      <c r="A61" s="17"/>
      <c r="B61" s="17"/>
      <c r="C61" s="17"/>
      <c r="D61" s="19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29"/>
      <c r="S61" s="17"/>
      <c r="T61" s="17"/>
      <c r="U61" s="17"/>
      <c r="V61" s="20"/>
      <c r="W61" s="20"/>
      <c r="X61" s="22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32"/>
      <c r="AV61" s="36"/>
      <c r="AW61" s="19"/>
      <c r="AX61" s="17"/>
      <c r="AY61" s="17"/>
      <c r="AZ61" s="12"/>
      <c r="BA61" s="12"/>
      <c r="BB61" s="24"/>
    </row>
    <row r="62" spans="1:54" x14ac:dyDescent="0.25">
      <c r="A62" s="17"/>
      <c r="B62" s="17"/>
      <c r="C62" s="17"/>
      <c r="D62" s="19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29"/>
      <c r="S62" s="17"/>
      <c r="T62" s="17"/>
      <c r="U62" s="17"/>
      <c r="V62" s="20"/>
      <c r="W62" s="20"/>
      <c r="X62" s="22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32"/>
      <c r="AV62" s="36"/>
      <c r="AW62" s="19"/>
      <c r="AX62" s="17"/>
      <c r="AY62" s="17"/>
      <c r="AZ62" s="12"/>
      <c r="BA62" s="12"/>
      <c r="BB62" s="24"/>
    </row>
    <row r="63" spans="1:54" x14ac:dyDescent="0.25">
      <c r="A63" s="17"/>
      <c r="B63" s="17"/>
      <c r="C63" s="17"/>
      <c r="D63" s="19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29"/>
      <c r="S63" s="17"/>
      <c r="T63" s="17"/>
      <c r="U63" s="17"/>
      <c r="V63" s="20"/>
      <c r="W63" s="20"/>
      <c r="X63" s="23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32"/>
      <c r="AV63" s="36"/>
      <c r="AW63" s="19"/>
      <c r="AX63" s="17"/>
      <c r="AY63" s="17"/>
      <c r="AZ63" s="12"/>
      <c r="BA63" s="12"/>
      <c r="BB63" s="24"/>
    </row>
    <row r="64" spans="1:54" x14ac:dyDescent="0.25">
      <c r="A64" s="17"/>
      <c r="B64" s="17"/>
      <c r="C64" s="17"/>
      <c r="D64" s="19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29"/>
      <c r="S64" s="17"/>
      <c r="T64" s="17"/>
      <c r="U64" s="17"/>
      <c r="V64" s="20"/>
      <c r="W64" s="20"/>
      <c r="X64" s="22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32"/>
      <c r="AV64" s="36"/>
      <c r="AW64" s="19"/>
      <c r="AX64" s="17"/>
      <c r="AY64" s="17"/>
      <c r="AZ64" s="12"/>
      <c r="BA64" s="12"/>
      <c r="BB64" s="24"/>
    </row>
    <row r="65" spans="1:54" x14ac:dyDescent="0.25">
      <c r="A65" s="17"/>
      <c r="B65" s="17"/>
      <c r="C65" s="17"/>
      <c r="D65" s="19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29"/>
      <c r="S65" s="17"/>
      <c r="T65" s="17"/>
      <c r="U65" s="17"/>
      <c r="V65" s="20"/>
      <c r="W65" s="20"/>
      <c r="X65" s="22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32"/>
      <c r="AV65" s="36"/>
      <c r="AW65" s="19"/>
      <c r="AX65" s="17"/>
      <c r="AY65" s="17"/>
      <c r="AZ65" s="12"/>
      <c r="BA65" s="12"/>
      <c r="BB65" s="24"/>
    </row>
    <row r="66" spans="1:54" x14ac:dyDescent="0.25">
      <c r="A66" s="17"/>
      <c r="B66" s="17"/>
      <c r="C66" s="17"/>
      <c r="D66" s="19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29"/>
      <c r="S66" s="17"/>
      <c r="T66" s="17"/>
      <c r="U66" s="17"/>
      <c r="V66" s="20"/>
      <c r="W66" s="20"/>
      <c r="X66" s="22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32"/>
      <c r="AV66" s="36"/>
      <c r="AW66" s="19"/>
      <c r="AX66" s="17"/>
      <c r="AY66" s="17"/>
      <c r="AZ66" s="12"/>
      <c r="BA66" s="12"/>
      <c r="BB66" s="24"/>
    </row>
    <row r="67" spans="1:54" x14ac:dyDescent="0.25">
      <c r="A67" s="17"/>
      <c r="B67" s="17"/>
      <c r="C67" s="17"/>
      <c r="D67" s="19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29"/>
      <c r="S67" s="17"/>
      <c r="T67" s="17"/>
      <c r="U67" s="17"/>
      <c r="V67" s="20"/>
      <c r="W67" s="20"/>
      <c r="X67" s="23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32"/>
      <c r="AV67" s="36"/>
      <c r="AW67" s="19"/>
      <c r="AX67" s="17"/>
      <c r="AY67" s="17"/>
      <c r="AZ67" s="12"/>
      <c r="BA67" s="12"/>
      <c r="BB67" s="24"/>
    </row>
    <row r="68" spans="1:54" x14ac:dyDescent="0.25">
      <c r="A68" s="17"/>
      <c r="B68" s="17"/>
      <c r="C68" s="17"/>
      <c r="D68" s="19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29"/>
      <c r="S68" s="17"/>
      <c r="T68" s="17"/>
      <c r="U68" s="17"/>
      <c r="V68" s="20"/>
      <c r="W68" s="20"/>
      <c r="X68" s="22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32"/>
      <c r="AV68" s="36"/>
      <c r="AW68" s="19"/>
      <c r="AX68" s="17"/>
      <c r="AY68" s="17"/>
      <c r="AZ68" s="12"/>
      <c r="BA68" s="12"/>
      <c r="BB68" s="24"/>
    </row>
    <row r="69" spans="1:54" x14ac:dyDescent="0.25">
      <c r="A69" s="17"/>
      <c r="B69" s="17"/>
      <c r="C69" s="17"/>
      <c r="D69" s="19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29"/>
      <c r="S69" s="17"/>
      <c r="T69" s="17"/>
      <c r="U69" s="17"/>
      <c r="V69" s="20"/>
      <c r="W69" s="20"/>
      <c r="X69" s="22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32"/>
      <c r="AV69" s="36"/>
      <c r="AW69" s="19"/>
      <c r="AX69" s="17"/>
      <c r="AY69" s="17"/>
      <c r="AZ69" s="12"/>
      <c r="BA69" s="12"/>
      <c r="BB69" s="24"/>
    </row>
    <row r="70" spans="1:54" x14ac:dyDescent="0.25">
      <c r="A70" s="17"/>
      <c r="B70" s="17"/>
      <c r="C70" s="17"/>
      <c r="D70" s="19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29"/>
      <c r="S70" s="17"/>
      <c r="T70" s="17"/>
      <c r="U70" s="17"/>
      <c r="V70" s="20"/>
      <c r="W70" s="20"/>
      <c r="X70" s="22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32"/>
      <c r="AV70" s="36"/>
      <c r="AW70" s="19"/>
      <c r="AX70" s="17"/>
      <c r="AY70" s="17"/>
      <c r="AZ70" s="12"/>
      <c r="BA70" s="12"/>
      <c r="BB70" s="24"/>
    </row>
    <row r="71" spans="1:54" x14ac:dyDescent="0.25">
      <c r="A71" s="17"/>
      <c r="B71" s="17"/>
      <c r="C71" s="17"/>
      <c r="D71" s="19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29"/>
      <c r="S71" s="17"/>
      <c r="T71" s="17"/>
      <c r="U71" s="17"/>
      <c r="V71" s="20"/>
      <c r="W71" s="20"/>
      <c r="X71" s="22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32"/>
      <c r="AV71" s="36"/>
      <c r="AW71" s="19"/>
      <c r="AX71" s="17"/>
      <c r="AY71" s="17"/>
      <c r="AZ71" s="12"/>
      <c r="BA71" s="12"/>
      <c r="BB71" s="24"/>
    </row>
    <row r="72" spans="1:54" x14ac:dyDescent="0.25">
      <c r="A72" s="17"/>
      <c r="B72" s="17"/>
      <c r="C72" s="17"/>
      <c r="D72" s="19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29"/>
      <c r="S72" s="17"/>
      <c r="T72" s="17"/>
      <c r="U72" s="17"/>
      <c r="V72" s="20"/>
      <c r="W72" s="20"/>
      <c r="X72" s="23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32"/>
      <c r="AV72" s="36"/>
      <c r="AW72" s="19"/>
      <c r="AX72" s="17"/>
      <c r="AY72" s="17"/>
      <c r="AZ72" s="12"/>
      <c r="BA72" s="12"/>
      <c r="BB72" s="24"/>
    </row>
    <row r="73" spans="1:54" x14ac:dyDescent="0.25">
      <c r="A73" s="17"/>
      <c r="B73" s="17"/>
      <c r="C73" s="17"/>
      <c r="D73" s="19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29"/>
      <c r="S73" s="17"/>
      <c r="T73" s="17"/>
      <c r="U73" s="17"/>
      <c r="V73" s="20"/>
      <c r="W73" s="20"/>
      <c r="X73" s="22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32"/>
      <c r="AV73" s="36"/>
      <c r="AW73" s="19"/>
      <c r="AX73" s="17"/>
      <c r="AY73" s="17"/>
      <c r="AZ73" s="12"/>
      <c r="BA73" s="12"/>
      <c r="BB73" s="24"/>
    </row>
    <row r="74" spans="1:54" x14ac:dyDescent="0.25">
      <c r="A74" s="17"/>
      <c r="B74" s="17"/>
      <c r="C74" s="17"/>
      <c r="D74" s="19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29"/>
      <c r="S74" s="17"/>
      <c r="T74" s="17"/>
      <c r="U74" s="17"/>
      <c r="V74" s="20"/>
      <c r="W74" s="20"/>
      <c r="X74" s="22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32"/>
      <c r="AV74" s="36"/>
      <c r="AW74" s="19"/>
      <c r="AX74" s="17"/>
      <c r="AY74" s="17"/>
      <c r="AZ74" s="12"/>
      <c r="BA74" s="12"/>
      <c r="BB74" s="24"/>
    </row>
    <row r="75" spans="1:54" x14ac:dyDescent="0.25">
      <c r="A75" s="17"/>
      <c r="B75" s="17"/>
      <c r="C75" s="17"/>
      <c r="D75" s="19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29"/>
      <c r="S75" s="17"/>
      <c r="T75" s="17"/>
      <c r="U75" s="17"/>
      <c r="V75" s="20"/>
      <c r="W75" s="20"/>
      <c r="X75" s="23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32"/>
      <c r="AV75" s="36"/>
      <c r="AW75" s="19"/>
      <c r="AX75" s="17"/>
      <c r="AY75" s="17"/>
      <c r="AZ75" s="12"/>
      <c r="BA75" s="12"/>
      <c r="BB75" s="24"/>
    </row>
    <row r="76" spans="1:54" x14ac:dyDescent="0.25">
      <c r="A76" s="17"/>
      <c r="B76" s="17"/>
      <c r="C76" s="17"/>
      <c r="D76" s="19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29"/>
      <c r="S76" s="17"/>
      <c r="T76" s="17"/>
      <c r="U76" s="17"/>
      <c r="V76" s="20"/>
      <c r="W76" s="20"/>
      <c r="X76" s="22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32"/>
      <c r="AV76" s="36"/>
      <c r="AW76" s="19"/>
      <c r="AX76" s="17"/>
      <c r="AY76" s="17"/>
      <c r="AZ76" s="12"/>
      <c r="BA76" s="12"/>
      <c r="BB76" s="24"/>
    </row>
    <row r="77" spans="1:54" x14ac:dyDescent="0.25">
      <c r="A77" s="17"/>
      <c r="B77" s="17"/>
      <c r="C77" s="17"/>
      <c r="D77" s="19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29"/>
      <c r="S77" s="17"/>
      <c r="T77" s="17"/>
      <c r="U77" s="17"/>
      <c r="V77" s="20"/>
      <c r="W77" s="20"/>
      <c r="X77" s="22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32"/>
      <c r="AV77" s="36"/>
      <c r="AW77" s="19"/>
      <c r="AX77" s="17"/>
      <c r="AY77" s="17"/>
      <c r="AZ77" s="12"/>
      <c r="BA77" s="12"/>
      <c r="BB77" s="24"/>
    </row>
    <row r="78" spans="1:54" x14ac:dyDescent="0.25">
      <c r="A78" s="17"/>
      <c r="B78" s="17"/>
      <c r="C78" s="17"/>
      <c r="D78" s="19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29"/>
      <c r="S78" s="17"/>
      <c r="T78" s="17"/>
      <c r="U78" s="17"/>
      <c r="V78" s="20"/>
      <c r="W78" s="20"/>
      <c r="X78" s="22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32"/>
      <c r="AV78" s="36"/>
      <c r="AW78" s="19"/>
      <c r="AX78" s="17"/>
      <c r="AY78" s="17"/>
      <c r="AZ78" s="12"/>
      <c r="BA78" s="12"/>
      <c r="BB78" s="24"/>
    </row>
    <row r="79" spans="1:54" x14ac:dyDescent="0.25">
      <c r="A79" s="17"/>
      <c r="B79" s="17"/>
      <c r="C79" s="17"/>
      <c r="D79" s="19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29"/>
      <c r="S79" s="17"/>
      <c r="T79" s="17"/>
      <c r="U79" s="17"/>
      <c r="V79" s="20"/>
      <c r="W79" s="20"/>
      <c r="X79" s="23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32"/>
      <c r="AV79" s="36"/>
      <c r="AW79" s="19"/>
      <c r="AX79" s="17"/>
      <c r="AY79" s="17"/>
      <c r="AZ79" s="12"/>
      <c r="BA79" s="12"/>
      <c r="BB79" s="24"/>
    </row>
    <row r="80" spans="1:54" x14ac:dyDescent="0.25">
      <c r="A80" s="17"/>
      <c r="B80" s="17"/>
      <c r="C80" s="17"/>
      <c r="D80" s="19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29"/>
      <c r="S80" s="17"/>
      <c r="T80" s="17"/>
      <c r="U80" s="17"/>
      <c r="V80" s="20"/>
      <c r="W80" s="20"/>
      <c r="X80" s="22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32"/>
      <c r="AV80" s="36"/>
      <c r="AW80" s="19"/>
      <c r="AX80" s="17"/>
      <c r="AY80" s="17"/>
      <c r="AZ80" s="12"/>
      <c r="BA80" s="12"/>
      <c r="BB80" s="24"/>
    </row>
    <row r="81" spans="1:54" x14ac:dyDescent="0.25">
      <c r="A81" s="17"/>
      <c r="B81" s="17"/>
      <c r="C81" s="17"/>
      <c r="D81" s="19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29"/>
      <c r="S81" s="17"/>
      <c r="T81" s="17"/>
      <c r="U81" s="17"/>
      <c r="V81" s="20"/>
      <c r="W81" s="20"/>
      <c r="X81" s="22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32"/>
      <c r="AV81" s="36"/>
      <c r="AW81" s="19"/>
      <c r="AX81" s="17"/>
      <c r="AY81" s="17"/>
      <c r="AZ81" s="12"/>
      <c r="BA81" s="12"/>
      <c r="BB81" s="24"/>
    </row>
    <row r="82" spans="1:54" x14ac:dyDescent="0.25">
      <c r="A82" s="17"/>
      <c r="B82" s="17"/>
      <c r="C82" s="17"/>
      <c r="D82" s="19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29"/>
      <c r="S82" s="17"/>
      <c r="T82" s="17"/>
      <c r="U82" s="17"/>
      <c r="V82" s="20"/>
      <c r="W82" s="20"/>
      <c r="X82" s="22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32"/>
      <c r="AV82" s="36"/>
      <c r="AW82" s="19"/>
      <c r="AX82" s="17"/>
      <c r="AY82" s="17"/>
      <c r="AZ82" s="12"/>
      <c r="BA82" s="12"/>
      <c r="BB82" s="24"/>
    </row>
    <row r="83" spans="1:54" x14ac:dyDescent="0.25">
      <c r="A83" s="17"/>
      <c r="B83" s="17"/>
      <c r="C83" s="17"/>
      <c r="D83" s="19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29"/>
      <c r="S83" s="17"/>
      <c r="T83" s="17"/>
      <c r="U83" s="17"/>
      <c r="V83" s="20"/>
      <c r="W83" s="20"/>
      <c r="X83" s="22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32"/>
      <c r="AV83" s="36"/>
      <c r="AW83" s="19"/>
      <c r="AX83" s="17"/>
      <c r="AY83" s="17"/>
      <c r="AZ83" s="12"/>
      <c r="BA83" s="12"/>
      <c r="BB83" s="24"/>
    </row>
    <row r="84" spans="1:54" x14ac:dyDescent="0.25">
      <c r="A84" s="17"/>
      <c r="B84" s="17"/>
      <c r="C84" s="17"/>
      <c r="D84" s="19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29"/>
      <c r="S84" s="17"/>
      <c r="T84" s="17"/>
      <c r="U84" s="17"/>
      <c r="V84" s="20"/>
      <c r="W84" s="20"/>
      <c r="X84" s="23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32"/>
      <c r="AV84" s="36"/>
      <c r="AW84" s="19"/>
      <c r="AX84" s="17"/>
      <c r="AY84" s="17"/>
      <c r="AZ84" s="12"/>
      <c r="BA84" s="12"/>
      <c r="BB84" s="24"/>
    </row>
    <row r="85" spans="1:54" x14ac:dyDescent="0.25">
      <c r="A85" s="17"/>
      <c r="B85" s="17"/>
      <c r="C85" s="17"/>
      <c r="D85" s="19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29"/>
      <c r="S85" s="17"/>
      <c r="T85" s="17"/>
      <c r="U85" s="17"/>
      <c r="V85" s="20"/>
      <c r="W85" s="20"/>
      <c r="X85" s="22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32"/>
      <c r="AV85" s="36"/>
      <c r="AW85" s="19"/>
      <c r="AX85" s="17"/>
      <c r="AY85" s="17"/>
      <c r="AZ85" s="12"/>
      <c r="BA85" s="12"/>
      <c r="BB85" s="24"/>
    </row>
    <row r="86" spans="1:54" x14ac:dyDescent="0.25">
      <c r="A86" s="17"/>
      <c r="B86" s="17"/>
      <c r="C86" s="17"/>
      <c r="D86" s="19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29"/>
      <c r="S86" s="17"/>
      <c r="T86" s="17"/>
      <c r="U86" s="17"/>
      <c r="V86" s="20"/>
      <c r="W86" s="20"/>
      <c r="X86" s="22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32"/>
      <c r="AV86" s="36"/>
      <c r="AW86" s="19"/>
      <c r="AX86" s="17"/>
      <c r="AY86" s="17"/>
      <c r="AZ86" s="12"/>
      <c r="BA86" s="12"/>
      <c r="BB86" s="24"/>
    </row>
    <row r="87" spans="1:54" x14ac:dyDescent="0.25">
      <c r="A87" s="17"/>
      <c r="B87" s="17"/>
      <c r="C87" s="17"/>
      <c r="D87" s="19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29"/>
      <c r="S87" s="17"/>
      <c r="T87" s="17"/>
      <c r="U87" s="17"/>
      <c r="V87" s="20"/>
      <c r="W87" s="20"/>
      <c r="X87" s="23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32"/>
      <c r="AV87" s="36"/>
      <c r="AW87" s="19"/>
      <c r="AX87" s="17"/>
      <c r="AY87" s="17"/>
      <c r="AZ87" s="12"/>
      <c r="BA87" s="12"/>
      <c r="BB87" s="24"/>
    </row>
    <row r="88" spans="1:54" x14ac:dyDescent="0.25">
      <c r="A88" s="17"/>
      <c r="B88" s="17"/>
      <c r="C88" s="17"/>
      <c r="D88" s="19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29"/>
      <c r="S88" s="17"/>
      <c r="T88" s="17"/>
      <c r="U88" s="17"/>
      <c r="V88" s="20"/>
      <c r="W88" s="20"/>
      <c r="X88" s="22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32"/>
      <c r="AV88" s="36"/>
      <c r="AW88" s="19"/>
      <c r="AX88" s="17"/>
      <c r="AY88" s="17"/>
      <c r="AZ88" s="12"/>
      <c r="BA88" s="12"/>
      <c r="BB88" s="24"/>
    </row>
    <row r="89" spans="1:54" x14ac:dyDescent="0.25">
      <c r="A89" s="17"/>
      <c r="B89" s="17"/>
      <c r="C89" s="17"/>
      <c r="D89" s="19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29"/>
      <c r="S89" s="17"/>
      <c r="T89" s="17"/>
      <c r="U89" s="17"/>
      <c r="V89" s="20"/>
      <c r="W89" s="20"/>
      <c r="X89" s="22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32"/>
      <c r="AV89" s="36"/>
      <c r="AW89" s="19"/>
      <c r="AX89" s="17"/>
      <c r="AY89" s="17"/>
      <c r="AZ89" s="12"/>
      <c r="BA89" s="12"/>
      <c r="BB89" s="24"/>
    </row>
    <row r="90" spans="1:54" x14ac:dyDescent="0.25">
      <c r="A90" s="17"/>
      <c r="B90" s="17"/>
      <c r="C90" s="17"/>
      <c r="D90" s="19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29"/>
      <c r="S90" s="17"/>
      <c r="T90" s="17"/>
      <c r="U90" s="17"/>
      <c r="V90" s="20"/>
      <c r="W90" s="20"/>
      <c r="X90" s="22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32"/>
      <c r="AV90" s="36"/>
      <c r="AW90" s="19"/>
      <c r="AX90" s="17"/>
      <c r="AY90" s="17"/>
      <c r="AZ90" s="12"/>
      <c r="BA90" s="12"/>
      <c r="BB90" s="24"/>
    </row>
    <row r="91" spans="1:54" x14ac:dyDescent="0.25">
      <c r="A91" s="17"/>
      <c r="B91" s="17"/>
      <c r="C91" s="17"/>
      <c r="D91" s="19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29"/>
      <c r="S91" s="17"/>
      <c r="T91" s="17"/>
      <c r="U91" s="17"/>
      <c r="V91" s="20"/>
      <c r="W91" s="20"/>
      <c r="X91" s="22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32"/>
      <c r="AV91" s="36"/>
      <c r="AW91" s="19"/>
      <c r="AX91" s="17"/>
      <c r="AY91" s="17"/>
      <c r="AZ91" s="12"/>
      <c r="BA91" s="12"/>
      <c r="BB91" s="24"/>
    </row>
    <row r="92" spans="1:54" x14ac:dyDescent="0.25">
      <c r="A92" s="17"/>
      <c r="B92" s="17"/>
      <c r="C92" s="17"/>
      <c r="D92" s="19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29"/>
      <c r="S92" s="17"/>
      <c r="T92" s="17"/>
      <c r="U92" s="17"/>
      <c r="V92" s="20"/>
      <c r="W92" s="20"/>
      <c r="X92" s="22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32"/>
      <c r="AV92" s="36"/>
      <c r="AW92" s="19"/>
      <c r="AX92" s="17"/>
      <c r="AY92" s="17"/>
      <c r="AZ92" s="12"/>
      <c r="BA92" s="12"/>
      <c r="BB92" s="24"/>
    </row>
    <row r="93" spans="1:54" x14ac:dyDescent="0.25">
      <c r="A93" s="17"/>
      <c r="B93" s="17"/>
      <c r="C93" s="17"/>
      <c r="D93" s="19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29"/>
      <c r="S93" s="17"/>
      <c r="T93" s="17"/>
      <c r="U93" s="17"/>
      <c r="V93" s="20"/>
      <c r="W93" s="20"/>
      <c r="X93" s="22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32"/>
      <c r="AV93" s="36"/>
      <c r="AW93" s="19"/>
      <c r="AX93" s="17"/>
      <c r="AY93" s="17"/>
      <c r="AZ93" s="12"/>
      <c r="BA93" s="12"/>
      <c r="BB93" s="24"/>
    </row>
    <row r="94" spans="1:54" x14ac:dyDescent="0.25">
      <c r="A94" s="17"/>
      <c r="B94" s="17"/>
      <c r="C94" s="17"/>
      <c r="D94" s="19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29"/>
      <c r="S94" s="17"/>
      <c r="T94" s="17"/>
      <c r="U94" s="17"/>
      <c r="V94" s="20"/>
      <c r="W94" s="20"/>
      <c r="X94" s="22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32"/>
      <c r="AV94" s="36"/>
      <c r="AW94" s="19"/>
      <c r="AX94" s="17"/>
      <c r="AY94" s="17"/>
      <c r="AZ94" s="12"/>
      <c r="BA94" s="12"/>
      <c r="BB94" s="24"/>
    </row>
    <row r="95" spans="1:54" x14ac:dyDescent="0.25">
      <c r="A95" s="17"/>
      <c r="B95" s="17"/>
      <c r="C95" s="17"/>
      <c r="D95" s="19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29"/>
      <c r="S95" s="17"/>
      <c r="T95" s="17"/>
      <c r="U95" s="17"/>
      <c r="V95" s="20"/>
      <c r="W95" s="20"/>
      <c r="X95" s="23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32"/>
      <c r="AV95" s="36"/>
      <c r="AW95" s="19"/>
      <c r="AX95" s="17"/>
      <c r="AY95" s="17"/>
      <c r="AZ95" s="12"/>
      <c r="BA95" s="12"/>
      <c r="BB95" s="24"/>
    </row>
    <row r="96" spans="1:54" x14ac:dyDescent="0.25">
      <c r="A96" s="17"/>
      <c r="B96" s="17"/>
      <c r="C96" s="17"/>
      <c r="D96" s="19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29"/>
      <c r="S96" s="17"/>
      <c r="T96" s="17"/>
      <c r="U96" s="17"/>
      <c r="V96" s="20"/>
      <c r="W96" s="20"/>
      <c r="X96" s="22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32"/>
      <c r="AV96" s="36"/>
      <c r="AW96" s="19"/>
      <c r="AX96" s="17"/>
      <c r="AY96" s="17"/>
      <c r="AZ96" s="12"/>
      <c r="BA96" s="12"/>
      <c r="BB96" s="24"/>
    </row>
    <row r="97" spans="1:54" x14ac:dyDescent="0.25">
      <c r="A97" s="17"/>
      <c r="B97" s="17"/>
      <c r="C97" s="17"/>
      <c r="D97" s="19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29"/>
      <c r="S97" s="17"/>
      <c r="T97" s="17"/>
      <c r="U97" s="17"/>
      <c r="V97" s="20"/>
      <c r="W97" s="20"/>
      <c r="X97" s="23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32"/>
      <c r="AV97" s="36"/>
      <c r="AW97" s="19"/>
      <c r="AX97" s="17"/>
      <c r="AY97" s="17"/>
      <c r="AZ97" s="12"/>
      <c r="BA97" s="12"/>
      <c r="BB97" s="24"/>
    </row>
    <row r="98" spans="1:54" x14ac:dyDescent="0.25">
      <c r="A98" s="17"/>
      <c r="B98" s="17"/>
      <c r="C98" s="17"/>
      <c r="D98" s="19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29"/>
      <c r="S98" s="17"/>
      <c r="T98" s="17"/>
      <c r="U98" s="17"/>
      <c r="V98" s="20"/>
      <c r="W98" s="20"/>
      <c r="X98" s="22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32"/>
      <c r="AV98" s="36"/>
      <c r="AW98" s="19"/>
      <c r="AX98" s="17"/>
      <c r="AY98" s="17"/>
      <c r="AZ98" s="12"/>
      <c r="BA98" s="12"/>
      <c r="BB98" s="24"/>
    </row>
    <row r="99" spans="1:54" x14ac:dyDescent="0.25">
      <c r="A99" s="17"/>
      <c r="B99" s="17"/>
      <c r="C99" s="17"/>
      <c r="D99" s="19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29"/>
      <c r="S99" s="17"/>
      <c r="T99" s="17"/>
      <c r="U99" s="17"/>
      <c r="V99" s="20"/>
      <c r="W99" s="20"/>
      <c r="X99" s="22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32"/>
      <c r="AV99" s="36"/>
      <c r="AW99" s="19"/>
      <c r="AX99" s="17"/>
      <c r="AY99" s="17"/>
      <c r="AZ99" s="12"/>
      <c r="BA99" s="12"/>
      <c r="BB99" s="24"/>
    </row>
    <row r="100" spans="1:54" x14ac:dyDescent="0.25">
      <c r="A100" s="17"/>
      <c r="B100" s="17"/>
      <c r="C100" s="17"/>
      <c r="D100" s="19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29"/>
      <c r="S100" s="17"/>
      <c r="T100" s="17"/>
      <c r="U100" s="17"/>
      <c r="V100" s="20"/>
      <c r="W100" s="20"/>
      <c r="X100" s="22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32"/>
      <c r="AV100" s="36"/>
      <c r="AW100" s="19"/>
      <c r="AX100" s="17"/>
      <c r="AY100" s="17"/>
      <c r="AZ100" s="12"/>
      <c r="BA100" s="12"/>
      <c r="BB100" s="24"/>
    </row>
    <row r="101" spans="1:54" x14ac:dyDescent="0.25">
      <c r="A101" s="17"/>
      <c r="B101" s="17"/>
      <c r="C101" s="17"/>
      <c r="D101" s="19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29"/>
      <c r="S101" s="17"/>
      <c r="T101" s="17"/>
      <c r="U101" s="17"/>
      <c r="V101" s="20"/>
      <c r="W101" s="20"/>
      <c r="X101" s="22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32"/>
      <c r="AV101" s="36"/>
      <c r="AW101" s="19"/>
      <c r="AX101" s="17"/>
      <c r="AY101" s="17"/>
      <c r="AZ101" s="12"/>
      <c r="BA101" s="12"/>
      <c r="BB101" s="24"/>
    </row>
    <row r="102" spans="1:54" x14ac:dyDescent="0.25">
      <c r="A102" s="17"/>
      <c r="B102" s="17"/>
      <c r="C102" s="17"/>
      <c r="D102" s="19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29"/>
      <c r="S102" s="17"/>
      <c r="T102" s="17"/>
      <c r="U102" s="17"/>
      <c r="V102" s="20"/>
      <c r="W102" s="20"/>
      <c r="X102" s="23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32"/>
      <c r="AV102" s="36"/>
      <c r="AW102" s="19"/>
      <c r="AX102" s="17"/>
      <c r="AY102" s="17"/>
      <c r="AZ102" s="12"/>
      <c r="BA102" s="12"/>
      <c r="BB102" s="24"/>
    </row>
    <row r="103" spans="1:54" x14ac:dyDescent="0.25">
      <c r="A103" s="17"/>
      <c r="B103" s="17"/>
      <c r="C103" s="17"/>
      <c r="D103" s="19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29"/>
      <c r="S103" s="17"/>
      <c r="T103" s="17"/>
      <c r="U103" s="17"/>
      <c r="V103" s="20"/>
      <c r="W103" s="20"/>
      <c r="X103" s="22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32"/>
      <c r="AV103" s="36"/>
      <c r="AW103" s="19"/>
      <c r="AX103" s="17"/>
      <c r="AY103" s="17"/>
      <c r="AZ103" s="12"/>
      <c r="BA103" s="12"/>
      <c r="BB103" s="24"/>
    </row>
    <row r="104" spans="1:54" x14ac:dyDescent="0.25">
      <c r="A104" s="17"/>
      <c r="B104" s="17"/>
      <c r="C104" s="17"/>
      <c r="D104" s="19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29"/>
      <c r="S104" s="17"/>
      <c r="T104" s="17"/>
      <c r="U104" s="17"/>
      <c r="V104" s="20"/>
      <c r="W104" s="20"/>
      <c r="X104" s="22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32"/>
      <c r="AV104" s="36"/>
      <c r="AW104" s="19"/>
      <c r="AX104" s="17"/>
      <c r="AY104" s="17"/>
      <c r="AZ104" s="12"/>
      <c r="BA104" s="12"/>
      <c r="BB104" s="24"/>
    </row>
    <row r="105" spans="1:54" x14ac:dyDescent="0.25">
      <c r="A105" s="17"/>
      <c r="B105" s="17"/>
      <c r="C105" s="17"/>
      <c r="D105" s="19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29"/>
      <c r="S105" s="17"/>
      <c r="T105" s="17"/>
      <c r="U105" s="17"/>
      <c r="V105" s="20"/>
      <c r="W105" s="20"/>
      <c r="X105" s="23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32"/>
      <c r="AV105" s="36"/>
      <c r="AW105" s="19"/>
      <c r="AX105" s="17"/>
      <c r="AY105" s="17"/>
      <c r="AZ105" s="12"/>
      <c r="BA105" s="12"/>
      <c r="BB105" s="24"/>
    </row>
    <row r="106" spans="1:54" x14ac:dyDescent="0.25">
      <c r="A106" s="17"/>
      <c r="B106" s="17"/>
      <c r="C106" s="17"/>
      <c r="D106" s="19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29"/>
      <c r="S106" s="17"/>
      <c r="T106" s="17"/>
      <c r="U106" s="17"/>
      <c r="V106" s="20"/>
      <c r="W106" s="20"/>
      <c r="X106" s="22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32"/>
      <c r="AV106" s="36"/>
      <c r="AW106" s="19"/>
      <c r="AX106" s="17"/>
      <c r="AY106" s="17"/>
      <c r="AZ106" s="12"/>
      <c r="BA106" s="12"/>
      <c r="BB106" s="24"/>
    </row>
    <row r="107" spans="1:54" x14ac:dyDescent="0.25">
      <c r="A107" s="17"/>
      <c r="B107" s="17"/>
      <c r="C107" s="17"/>
      <c r="D107" s="19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29"/>
      <c r="S107" s="17"/>
      <c r="T107" s="17"/>
      <c r="U107" s="17"/>
      <c r="V107" s="20"/>
      <c r="W107" s="20"/>
      <c r="X107" s="22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32"/>
      <c r="AV107" s="36"/>
      <c r="AW107" s="19"/>
      <c r="AX107" s="17"/>
      <c r="AY107" s="17"/>
      <c r="AZ107" s="12"/>
      <c r="BA107" s="12"/>
      <c r="BB107" s="24"/>
    </row>
    <row r="108" spans="1:54" x14ac:dyDescent="0.25">
      <c r="A108" s="17"/>
      <c r="B108" s="17"/>
      <c r="C108" s="17"/>
      <c r="D108" s="19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29"/>
      <c r="S108" s="17"/>
      <c r="T108" s="17"/>
      <c r="U108" s="17"/>
      <c r="V108" s="20"/>
      <c r="W108" s="20"/>
      <c r="X108" s="22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32"/>
      <c r="AV108" s="36"/>
      <c r="AW108" s="19"/>
      <c r="AX108" s="17"/>
      <c r="AY108" s="17"/>
      <c r="AZ108" s="12"/>
      <c r="BA108" s="12"/>
      <c r="BB108" s="24"/>
    </row>
    <row r="109" spans="1:54" x14ac:dyDescent="0.25">
      <c r="A109" s="17"/>
      <c r="B109" s="17"/>
      <c r="C109" s="17"/>
      <c r="D109" s="19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29"/>
      <c r="S109" s="17"/>
      <c r="T109" s="17"/>
      <c r="U109" s="17"/>
      <c r="V109" s="20"/>
      <c r="W109" s="20"/>
      <c r="X109" s="22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32"/>
      <c r="AV109" s="36"/>
      <c r="AW109" s="19"/>
      <c r="AX109" s="17"/>
      <c r="AY109" s="17"/>
      <c r="AZ109" s="12"/>
      <c r="BA109" s="12"/>
      <c r="BB109" s="24"/>
    </row>
    <row r="110" spans="1:54" x14ac:dyDescent="0.25">
      <c r="A110" s="17"/>
      <c r="B110" s="17"/>
      <c r="C110" s="17"/>
      <c r="D110" s="19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29"/>
      <c r="S110" s="17"/>
      <c r="T110" s="17"/>
      <c r="U110" s="17"/>
      <c r="V110" s="20"/>
      <c r="W110" s="20"/>
      <c r="X110" s="22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32"/>
      <c r="AV110" s="36"/>
      <c r="AW110" s="19"/>
      <c r="AX110" s="17"/>
      <c r="AY110" s="17"/>
      <c r="AZ110" s="12"/>
      <c r="BA110" s="12"/>
      <c r="BB110" s="24"/>
    </row>
    <row r="111" spans="1:54" x14ac:dyDescent="0.25">
      <c r="A111" s="17"/>
      <c r="B111" s="17"/>
      <c r="C111" s="17"/>
      <c r="D111" s="19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29"/>
      <c r="S111" s="17"/>
      <c r="T111" s="17"/>
      <c r="U111" s="17"/>
      <c r="V111" s="20"/>
      <c r="W111" s="20"/>
      <c r="X111" s="23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32"/>
      <c r="AV111" s="36"/>
      <c r="AW111" s="19"/>
      <c r="AX111" s="17"/>
      <c r="AY111" s="17"/>
      <c r="AZ111" s="12"/>
      <c r="BA111" s="12"/>
      <c r="BB111" s="24"/>
    </row>
    <row r="112" spans="1:54" x14ac:dyDescent="0.25">
      <c r="A112" s="17"/>
      <c r="B112" s="17"/>
      <c r="C112" s="17"/>
      <c r="D112" s="19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29"/>
      <c r="S112" s="17"/>
      <c r="T112" s="17"/>
      <c r="U112" s="17"/>
      <c r="V112" s="20"/>
      <c r="W112" s="20"/>
      <c r="X112" s="22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32"/>
      <c r="AV112" s="36"/>
      <c r="AW112" s="19"/>
      <c r="AX112" s="17"/>
      <c r="AY112" s="17"/>
      <c r="AZ112" s="12"/>
      <c r="BA112" s="12"/>
      <c r="BB112" s="24"/>
    </row>
    <row r="113" spans="1:54" x14ac:dyDescent="0.25">
      <c r="A113" s="17"/>
      <c r="B113" s="17"/>
      <c r="C113" s="17"/>
      <c r="D113" s="19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29"/>
      <c r="S113" s="17"/>
      <c r="T113" s="17"/>
      <c r="U113" s="17"/>
      <c r="V113" s="20"/>
      <c r="W113" s="20"/>
      <c r="X113" s="22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32"/>
      <c r="AV113" s="36"/>
      <c r="AW113" s="19"/>
      <c r="AX113" s="17"/>
      <c r="AY113" s="17"/>
      <c r="AZ113" s="12"/>
      <c r="BA113" s="12"/>
      <c r="BB113" s="24"/>
    </row>
    <row r="114" spans="1:54" x14ac:dyDescent="0.25">
      <c r="A114" s="17"/>
      <c r="B114" s="17"/>
      <c r="C114" s="17"/>
      <c r="D114" s="19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29"/>
      <c r="S114" s="17"/>
      <c r="T114" s="17"/>
      <c r="U114" s="17"/>
      <c r="V114" s="20"/>
      <c r="W114" s="20"/>
      <c r="X114" s="23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32"/>
      <c r="AV114" s="36"/>
      <c r="AW114" s="19"/>
      <c r="AX114" s="17"/>
      <c r="AY114" s="17"/>
      <c r="AZ114" s="12"/>
      <c r="BA114" s="12"/>
      <c r="BB114" s="24"/>
    </row>
    <row r="115" spans="1:54" x14ac:dyDescent="0.25">
      <c r="A115" s="17"/>
      <c r="B115" s="17"/>
      <c r="C115" s="17"/>
      <c r="D115" s="19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29"/>
      <c r="S115" s="17"/>
      <c r="T115" s="17"/>
      <c r="U115" s="17"/>
      <c r="V115" s="20"/>
      <c r="W115" s="20"/>
      <c r="X115" s="22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32"/>
      <c r="AV115" s="36"/>
      <c r="AW115" s="19"/>
      <c r="AX115" s="17"/>
      <c r="AY115" s="17"/>
      <c r="AZ115" s="12"/>
      <c r="BA115" s="12"/>
      <c r="BB115" s="24"/>
    </row>
    <row r="116" spans="1:54" x14ac:dyDescent="0.25">
      <c r="A116" s="17"/>
      <c r="B116" s="17"/>
      <c r="C116" s="17"/>
      <c r="D116" s="19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29"/>
      <c r="S116" s="17"/>
      <c r="T116" s="17"/>
      <c r="U116" s="17"/>
      <c r="V116" s="20"/>
      <c r="W116" s="20"/>
      <c r="X116" s="22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32"/>
      <c r="AV116" s="36"/>
      <c r="AW116" s="19"/>
      <c r="AX116" s="17"/>
      <c r="AY116" s="17"/>
      <c r="AZ116" s="12"/>
      <c r="BA116" s="12"/>
      <c r="BB116" s="24"/>
    </row>
    <row r="117" spans="1:54" x14ac:dyDescent="0.25">
      <c r="A117" s="17"/>
      <c r="B117" s="17"/>
      <c r="C117" s="17"/>
      <c r="D117" s="19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29"/>
      <c r="S117" s="17"/>
      <c r="T117" s="17"/>
      <c r="U117" s="17"/>
      <c r="V117" s="20"/>
      <c r="W117" s="20"/>
      <c r="X117" s="23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32"/>
      <c r="AV117" s="36"/>
      <c r="AW117" s="19"/>
      <c r="AX117" s="17"/>
      <c r="AY117" s="17"/>
      <c r="AZ117" s="12"/>
      <c r="BA117" s="12"/>
      <c r="BB117" s="24"/>
    </row>
    <row r="118" spans="1:54" x14ac:dyDescent="0.25">
      <c r="A118" s="17"/>
      <c r="B118" s="17"/>
      <c r="C118" s="17"/>
      <c r="D118" s="19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29"/>
      <c r="S118" s="17"/>
      <c r="T118" s="17"/>
      <c r="U118" s="17"/>
      <c r="V118" s="20"/>
      <c r="W118" s="20"/>
      <c r="X118" s="23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32"/>
      <c r="AV118" s="36"/>
      <c r="AW118" s="19"/>
      <c r="AX118" s="17"/>
      <c r="AY118" s="17"/>
      <c r="AZ118" s="12"/>
      <c r="BA118" s="12"/>
      <c r="BB118" s="24"/>
    </row>
    <row r="119" spans="1:54" x14ac:dyDescent="0.25">
      <c r="A119" s="17"/>
      <c r="B119" s="17"/>
      <c r="C119" s="17"/>
      <c r="D119" s="19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29"/>
      <c r="S119" s="17"/>
      <c r="T119" s="17"/>
      <c r="U119" s="17"/>
      <c r="V119" s="20"/>
      <c r="W119" s="20"/>
      <c r="X119" s="22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32"/>
      <c r="AV119" s="36"/>
      <c r="AW119" s="19"/>
      <c r="AX119" s="17"/>
      <c r="AY119" s="17"/>
      <c r="AZ119" s="12"/>
      <c r="BA119" s="12"/>
      <c r="BB119" s="24"/>
    </row>
    <row r="120" spans="1:54" x14ac:dyDescent="0.25">
      <c r="A120" s="17"/>
      <c r="B120" s="17"/>
      <c r="C120" s="17"/>
      <c r="D120" s="19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29"/>
      <c r="S120" s="17"/>
      <c r="T120" s="17"/>
      <c r="U120" s="17"/>
      <c r="V120" s="20"/>
      <c r="W120" s="20"/>
      <c r="X120" s="23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32"/>
      <c r="AV120" s="36"/>
      <c r="AW120" s="19"/>
      <c r="AX120" s="17"/>
      <c r="AY120" s="17"/>
      <c r="AZ120" s="12"/>
      <c r="BA120" s="12"/>
      <c r="BB120" s="24"/>
    </row>
    <row r="121" spans="1:54" x14ac:dyDescent="0.25">
      <c r="A121" s="17"/>
      <c r="B121" s="17"/>
      <c r="C121" s="17"/>
      <c r="D121" s="19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29"/>
      <c r="S121" s="17"/>
      <c r="T121" s="17"/>
      <c r="U121" s="17"/>
      <c r="V121" s="20"/>
      <c r="W121" s="20"/>
      <c r="X121" s="22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32"/>
      <c r="AV121" s="36"/>
      <c r="AW121" s="19"/>
      <c r="AX121" s="17"/>
      <c r="AY121" s="17"/>
      <c r="AZ121" s="12"/>
      <c r="BA121" s="12"/>
      <c r="BB121" s="24"/>
    </row>
    <row r="122" spans="1:54" x14ac:dyDescent="0.25">
      <c r="A122" s="17"/>
      <c r="B122" s="17"/>
      <c r="C122" s="17"/>
      <c r="D122" s="19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29"/>
      <c r="S122" s="17"/>
      <c r="T122" s="17"/>
      <c r="U122" s="17"/>
      <c r="V122" s="20"/>
      <c r="W122" s="20"/>
      <c r="X122" s="23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32"/>
      <c r="AV122" s="36"/>
      <c r="AW122" s="19"/>
      <c r="AX122" s="17"/>
      <c r="AY122" s="17"/>
      <c r="AZ122" s="12"/>
      <c r="BA122" s="12"/>
      <c r="BB122" s="24"/>
    </row>
    <row r="123" spans="1:54" x14ac:dyDescent="0.25">
      <c r="A123" s="17"/>
      <c r="B123" s="17"/>
      <c r="C123" s="17"/>
      <c r="D123" s="19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29"/>
      <c r="S123" s="17"/>
      <c r="T123" s="17"/>
      <c r="U123" s="17"/>
      <c r="V123" s="20"/>
      <c r="W123" s="20"/>
      <c r="X123" s="22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32"/>
      <c r="AV123" s="36"/>
      <c r="AW123" s="19"/>
      <c r="AX123" s="17"/>
      <c r="AY123" s="17"/>
      <c r="AZ123" s="12"/>
      <c r="BA123" s="12"/>
      <c r="BB123" s="24"/>
    </row>
    <row r="124" spans="1:54" x14ac:dyDescent="0.25">
      <c r="A124" s="17"/>
      <c r="B124" s="17"/>
      <c r="C124" s="17"/>
      <c r="D124" s="19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29"/>
      <c r="S124" s="17"/>
      <c r="T124" s="17"/>
      <c r="U124" s="17"/>
      <c r="V124" s="20"/>
      <c r="W124" s="20"/>
      <c r="X124" s="23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32"/>
      <c r="AV124" s="36"/>
      <c r="AW124" s="19"/>
      <c r="AX124" s="17"/>
      <c r="AY124" s="17"/>
      <c r="AZ124" s="12"/>
      <c r="BA124" s="12"/>
      <c r="BB124" s="24"/>
    </row>
    <row r="125" spans="1:54" x14ac:dyDescent="0.25">
      <c r="A125" s="17"/>
      <c r="B125" s="17"/>
      <c r="C125" s="17"/>
      <c r="D125" s="19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29"/>
      <c r="S125" s="17"/>
      <c r="T125" s="17"/>
      <c r="U125" s="17"/>
      <c r="V125" s="20"/>
      <c r="W125" s="20"/>
      <c r="X125" s="22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32"/>
      <c r="AV125" s="36"/>
      <c r="AW125" s="19"/>
      <c r="AX125" s="17"/>
      <c r="AY125" s="17"/>
      <c r="AZ125" s="12"/>
      <c r="BA125" s="12"/>
      <c r="BB125" s="24"/>
    </row>
    <row r="126" spans="1:54" x14ac:dyDescent="0.25">
      <c r="A126" s="17"/>
      <c r="B126" s="17"/>
      <c r="C126" s="17"/>
      <c r="D126" s="19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29"/>
      <c r="S126" s="17"/>
      <c r="T126" s="17"/>
      <c r="U126" s="17"/>
      <c r="V126" s="20"/>
      <c r="W126" s="20"/>
      <c r="X126" s="22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32"/>
      <c r="AV126" s="36"/>
      <c r="AW126" s="19"/>
      <c r="AX126" s="17"/>
      <c r="AY126" s="17"/>
      <c r="AZ126" s="12"/>
      <c r="BA126" s="12"/>
      <c r="BB126" s="24"/>
    </row>
    <row r="127" spans="1:54" x14ac:dyDescent="0.25">
      <c r="A127" s="17"/>
      <c r="B127" s="17"/>
      <c r="C127" s="17"/>
      <c r="D127" s="19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29"/>
      <c r="S127" s="17"/>
      <c r="T127" s="17"/>
      <c r="U127" s="17"/>
      <c r="V127" s="20"/>
      <c r="W127" s="20"/>
      <c r="X127" s="22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32"/>
      <c r="AV127" s="36"/>
      <c r="AW127" s="19"/>
      <c r="AX127" s="17"/>
      <c r="AY127" s="17"/>
      <c r="AZ127" s="12"/>
      <c r="BA127" s="12"/>
      <c r="BB127" s="24"/>
    </row>
    <row r="128" spans="1:54" x14ac:dyDescent="0.25">
      <c r="A128" s="17"/>
      <c r="B128" s="17"/>
      <c r="C128" s="17"/>
      <c r="D128" s="19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29"/>
      <c r="S128" s="17"/>
      <c r="T128" s="17"/>
      <c r="U128" s="17"/>
      <c r="V128" s="20"/>
      <c r="W128" s="20"/>
      <c r="X128" s="22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32"/>
      <c r="AV128" s="36"/>
      <c r="AW128" s="19"/>
      <c r="AX128" s="17"/>
      <c r="AY128" s="17"/>
      <c r="AZ128" s="12"/>
      <c r="BA128" s="12"/>
      <c r="BB128" s="24"/>
    </row>
    <row r="129" spans="1:54" x14ac:dyDescent="0.25">
      <c r="A129" s="17"/>
      <c r="B129" s="17"/>
      <c r="C129" s="17"/>
      <c r="D129" s="19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29"/>
      <c r="S129" s="17"/>
      <c r="T129" s="17"/>
      <c r="U129" s="17"/>
      <c r="V129" s="20"/>
      <c r="W129" s="20"/>
      <c r="X129" s="22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32"/>
      <c r="AV129" s="36"/>
      <c r="AW129" s="19"/>
      <c r="AX129" s="17"/>
      <c r="AY129" s="17"/>
      <c r="AZ129" s="12"/>
      <c r="BA129" s="12"/>
      <c r="BB129" s="24"/>
    </row>
    <row r="130" spans="1:54" x14ac:dyDescent="0.25">
      <c r="A130" s="17"/>
      <c r="B130" s="17"/>
      <c r="C130" s="17"/>
      <c r="D130" s="19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29"/>
      <c r="S130" s="17"/>
      <c r="T130" s="17"/>
      <c r="U130" s="17"/>
      <c r="V130" s="20"/>
      <c r="W130" s="20"/>
      <c r="X130" s="22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32"/>
      <c r="AV130" s="36"/>
      <c r="AW130" s="19"/>
      <c r="AX130" s="17"/>
      <c r="AY130" s="17"/>
      <c r="AZ130" s="12"/>
      <c r="BA130" s="12"/>
      <c r="BB130" s="24"/>
    </row>
    <row r="131" spans="1:54" x14ac:dyDescent="0.25">
      <c r="A131" s="17"/>
      <c r="B131" s="17"/>
      <c r="C131" s="17"/>
      <c r="D131" s="19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29"/>
      <c r="S131" s="17"/>
      <c r="T131" s="17"/>
      <c r="U131" s="17"/>
      <c r="V131" s="20"/>
      <c r="W131" s="20"/>
      <c r="X131" s="23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32"/>
      <c r="AV131" s="36"/>
      <c r="AW131" s="19"/>
      <c r="AX131" s="17"/>
      <c r="AY131" s="17"/>
      <c r="AZ131" s="12"/>
      <c r="BA131" s="12"/>
      <c r="BB131" s="24"/>
    </row>
    <row r="132" spans="1:54" x14ac:dyDescent="0.25">
      <c r="A132" s="17"/>
      <c r="B132" s="17"/>
      <c r="C132" s="17"/>
      <c r="D132" s="19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29"/>
      <c r="S132" s="17"/>
      <c r="T132" s="17"/>
      <c r="U132" s="17"/>
      <c r="V132" s="20"/>
      <c r="W132" s="20"/>
      <c r="X132" s="23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32"/>
      <c r="AV132" s="36"/>
      <c r="AW132" s="19"/>
      <c r="AX132" s="17"/>
      <c r="AY132" s="17"/>
      <c r="AZ132" s="12"/>
      <c r="BA132" s="12"/>
      <c r="BB132" s="24"/>
    </row>
    <row r="133" spans="1:54" x14ac:dyDescent="0.25">
      <c r="A133" s="17"/>
      <c r="B133" s="17"/>
      <c r="C133" s="17"/>
      <c r="D133" s="19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29"/>
      <c r="S133" s="17"/>
      <c r="T133" s="17"/>
      <c r="U133" s="17"/>
      <c r="V133" s="20"/>
      <c r="W133" s="20"/>
      <c r="X133" s="22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32"/>
      <c r="AV133" s="36"/>
      <c r="AW133" s="19"/>
      <c r="AX133" s="17"/>
      <c r="AY133" s="17"/>
      <c r="AZ133" s="12"/>
      <c r="BA133" s="12"/>
      <c r="BB133" s="24"/>
    </row>
    <row r="134" spans="1:54" x14ac:dyDescent="0.25">
      <c r="A134" s="17"/>
      <c r="B134" s="17"/>
      <c r="C134" s="17"/>
      <c r="D134" s="19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29"/>
      <c r="S134" s="17"/>
      <c r="T134" s="17"/>
      <c r="U134" s="17"/>
      <c r="V134" s="20"/>
      <c r="W134" s="20"/>
      <c r="X134" s="23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32"/>
      <c r="AV134" s="36"/>
      <c r="AW134" s="19"/>
      <c r="AX134" s="17"/>
      <c r="AY134" s="17"/>
      <c r="AZ134" s="12"/>
      <c r="BA134" s="12"/>
      <c r="BB134" s="24"/>
    </row>
    <row r="135" spans="1:54" x14ac:dyDescent="0.25">
      <c r="A135" s="17"/>
      <c r="B135" s="17"/>
      <c r="C135" s="17"/>
      <c r="D135" s="19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29"/>
      <c r="S135" s="17"/>
      <c r="T135" s="17"/>
      <c r="U135" s="17"/>
      <c r="V135" s="20"/>
      <c r="W135" s="20"/>
      <c r="X135" s="22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32"/>
      <c r="AV135" s="36"/>
      <c r="AW135" s="19"/>
      <c r="AX135" s="17"/>
      <c r="AY135" s="17"/>
      <c r="AZ135" s="12"/>
      <c r="BA135" s="12"/>
      <c r="BB135" s="24"/>
    </row>
    <row r="136" spans="1:54" x14ac:dyDescent="0.25">
      <c r="A136" s="17"/>
      <c r="B136" s="17"/>
      <c r="C136" s="17"/>
      <c r="D136" s="19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29"/>
      <c r="S136" s="17"/>
      <c r="T136" s="17"/>
      <c r="U136" s="17"/>
      <c r="V136" s="20"/>
      <c r="W136" s="20"/>
      <c r="X136" s="22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32"/>
      <c r="AV136" s="36"/>
      <c r="AW136" s="19"/>
      <c r="AX136" s="17"/>
      <c r="AY136" s="17"/>
      <c r="AZ136" s="12"/>
      <c r="BA136" s="12"/>
      <c r="BB136" s="24"/>
    </row>
    <row r="137" spans="1:54" x14ac:dyDescent="0.25">
      <c r="A137" s="17"/>
      <c r="B137" s="17"/>
      <c r="C137" s="17"/>
      <c r="D137" s="19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29"/>
      <c r="S137" s="17"/>
      <c r="T137" s="17"/>
      <c r="U137" s="17"/>
      <c r="V137" s="20"/>
      <c r="W137" s="20"/>
      <c r="X137" s="23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32"/>
      <c r="AV137" s="36"/>
      <c r="AW137" s="19"/>
      <c r="AX137" s="17"/>
      <c r="AY137" s="17"/>
      <c r="AZ137" s="12"/>
      <c r="BA137" s="12"/>
      <c r="BB137" s="24"/>
    </row>
    <row r="138" spans="1:54" x14ac:dyDescent="0.25">
      <c r="A138" s="17"/>
      <c r="B138" s="17"/>
      <c r="C138" s="17"/>
      <c r="D138" s="19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29"/>
      <c r="S138" s="17"/>
      <c r="T138" s="17"/>
      <c r="U138" s="17"/>
      <c r="V138" s="20"/>
      <c r="W138" s="20"/>
      <c r="X138" s="22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32"/>
      <c r="AV138" s="36"/>
      <c r="AW138" s="19"/>
      <c r="AX138" s="17"/>
      <c r="AY138" s="17"/>
      <c r="AZ138" s="12"/>
      <c r="BA138" s="12"/>
      <c r="BB138" s="24"/>
    </row>
    <row r="139" spans="1:54" x14ac:dyDescent="0.25">
      <c r="A139" s="17"/>
      <c r="B139" s="17"/>
      <c r="C139" s="17"/>
      <c r="D139" s="19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29"/>
      <c r="S139" s="17"/>
      <c r="T139" s="17"/>
      <c r="U139" s="17"/>
      <c r="V139" s="20"/>
      <c r="W139" s="20"/>
      <c r="X139" s="22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32"/>
      <c r="AV139" s="36"/>
      <c r="AW139" s="19"/>
      <c r="AX139" s="17"/>
      <c r="AY139" s="17"/>
      <c r="AZ139" s="12"/>
      <c r="BA139" s="12"/>
      <c r="BB139" s="24"/>
    </row>
    <row r="140" spans="1:54" x14ac:dyDescent="0.25">
      <c r="A140" s="17"/>
      <c r="B140" s="17"/>
      <c r="C140" s="17"/>
      <c r="D140" s="19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29"/>
      <c r="S140" s="17"/>
      <c r="T140" s="17"/>
      <c r="U140" s="17"/>
      <c r="V140" s="20"/>
      <c r="W140" s="20"/>
      <c r="X140" s="22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32"/>
      <c r="AV140" s="36"/>
      <c r="AW140" s="19"/>
      <c r="AX140" s="17"/>
      <c r="AY140" s="17"/>
      <c r="AZ140" s="12"/>
      <c r="BA140" s="12"/>
      <c r="BB140" s="24"/>
    </row>
    <row r="141" spans="1:54" x14ac:dyDescent="0.25">
      <c r="A141" s="17"/>
      <c r="B141" s="17"/>
      <c r="C141" s="17"/>
      <c r="D141" s="19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29"/>
      <c r="S141" s="17"/>
      <c r="T141" s="17"/>
      <c r="U141" s="17"/>
      <c r="V141" s="20"/>
      <c r="W141" s="20"/>
      <c r="X141" s="22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32"/>
      <c r="AV141" s="36"/>
      <c r="AW141" s="19"/>
      <c r="AX141" s="17"/>
      <c r="AY141" s="17"/>
      <c r="AZ141" s="12"/>
      <c r="BA141" s="12"/>
      <c r="BB141" s="24"/>
    </row>
    <row r="142" spans="1:54" x14ac:dyDescent="0.25">
      <c r="A142" s="17"/>
      <c r="B142" s="17"/>
      <c r="C142" s="17"/>
      <c r="D142" s="19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29"/>
      <c r="S142" s="17"/>
      <c r="T142" s="17"/>
      <c r="U142" s="17"/>
      <c r="V142" s="20"/>
      <c r="W142" s="20"/>
      <c r="X142" s="22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32"/>
      <c r="AV142" s="36"/>
      <c r="AW142" s="19"/>
      <c r="AX142" s="17"/>
      <c r="AY142" s="17"/>
      <c r="AZ142" s="12"/>
      <c r="BA142" s="12"/>
      <c r="BB142" s="24"/>
    </row>
    <row r="143" spans="1:54" x14ac:dyDescent="0.25">
      <c r="A143" s="17"/>
      <c r="B143" s="17"/>
      <c r="C143" s="17"/>
      <c r="D143" s="19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29"/>
      <c r="S143" s="17"/>
      <c r="T143" s="17"/>
      <c r="U143" s="17"/>
      <c r="V143" s="20"/>
      <c r="W143" s="20"/>
      <c r="X143" s="22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32"/>
      <c r="AV143" s="36"/>
      <c r="AW143" s="19"/>
      <c r="AX143" s="17"/>
      <c r="AY143" s="17"/>
      <c r="AZ143" s="12"/>
      <c r="BA143" s="12"/>
      <c r="BB143" s="24"/>
    </row>
    <row r="144" spans="1:54" x14ac:dyDescent="0.25">
      <c r="A144" s="17"/>
      <c r="B144" s="17"/>
      <c r="C144" s="17"/>
      <c r="D144" s="19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29"/>
      <c r="S144" s="17"/>
      <c r="T144" s="17"/>
      <c r="U144" s="17"/>
      <c r="V144" s="20"/>
      <c r="W144" s="20"/>
      <c r="X144" s="23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32"/>
      <c r="AV144" s="36"/>
      <c r="AW144" s="19"/>
      <c r="AX144" s="17"/>
      <c r="AY144" s="17"/>
      <c r="AZ144" s="12"/>
      <c r="BA144" s="12"/>
      <c r="BB144" s="24"/>
    </row>
    <row r="145" spans="1:54" x14ac:dyDescent="0.25">
      <c r="A145" s="17"/>
      <c r="B145" s="17"/>
      <c r="C145" s="17"/>
      <c r="D145" s="19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29"/>
      <c r="S145" s="17"/>
      <c r="T145" s="17"/>
      <c r="U145" s="17"/>
      <c r="V145" s="20"/>
      <c r="W145" s="20"/>
      <c r="X145" s="22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32"/>
      <c r="AV145" s="36"/>
      <c r="AW145" s="19"/>
      <c r="AX145" s="17"/>
      <c r="AY145" s="17"/>
      <c r="AZ145" s="12"/>
      <c r="BA145" s="12"/>
      <c r="BB145" s="24"/>
    </row>
    <row r="146" spans="1:54" x14ac:dyDescent="0.25">
      <c r="A146" s="17"/>
      <c r="B146" s="17"/>
      <c r="C146" s="17"/>
      <c r="D146" s="19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29"/>
      <c r="S146" s="17"/>
      <c r="T146" s="17"/>
      <c r="U146" s="17"/>
      <c r="V146" s="20"/>
      <c r="W146" s="20"/>
      <c r="X146" s="23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32"/>
      <c r="AV146" s="36"/>
      <c r="AW146" s="19"/>
      <c r="AX146" s="17"/>
      <c r="AY146" s="17"/>
      <c r="AZ146" s="12"/>
      <c r="BA146" s="12"/>
      <c r="BB146" s="24"/>
    </row>
    <row r="147" spans="1:54" x14ac:dyDescent="0.25">
      <c r="A147" s="17"/>
      <c r="B147" s="17"/>
      <c r="C147" s="17"/>
      <c r="D147" s="19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29"/>
      <c r="S147" s="17"/>
      <c r="T147" s="17"/>
      <c r="U147" s="17"/>
      <c r="V147" s="20"/>
      <c r="W147" s="20"/>
      <c r="X147" s="22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32"/>
      <c r="AV147" s="36"/>
      <c r="AW147" s="19"/>
      <c r="AX147" s="17"/>
      <c r="AY147" s="17"/>
      <c r="AZ147" s="12"/>
      <c r="BA147" s="12"/>
      <c r="BB147" s="24"/>
    </row>
    <row r="148" spans="1:54" x14ac:dyDescent="0.25">
      <c r="A148" s="17"/>
      <c r="B148" s="17"/>
      <c r="C148" s="17"/>
      <c r="D148" s="19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29"/>
      <c r="S148" s="17"/>
      <c r="T148" s="17"/>
      <c r="U148" s="17"/>
      <c r="V148" s="20"/>
      <c r="W148" s="20"/>
      <c r="X148" s="23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32"/>
      <c r="AV148" s="36"/>
      <c r="AW148" s="19"/>
      <c r="AX148" s="17"/>
      <c r="AY148" s="17"/>
      <c r="AZ148" s="12"/>
      <c r="BA148" s="12"/>
      <c r="BB148" s="24"/>
    </row>
    <row r="149" spans="1:54" x14ac:dyDescent="0.25">
      <c r="A149" s="17"/>
      <c r="B149" s="17"/>
      <c r="C149" s="17"/>
      <c r="D149" s="19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29"/>
      <c r="S149" s="17"/>
      <c r="T149" s="17"/>
      <c r="U149" s="17"/>
      <c r="V149" s="20"/>
      <c r="W149" s="20"/>
      <c r="X149" s="23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32"/>
      <c r="AV149" s="36"/>
      <c r="AW149" s="19"/>
      <c r="AX149" s="17"/>
      <c r="AY149" s="17"/>
      <c r="AZ149" s="12"/>
      <c r="BA149" s="12"/>
      <c r="BB149" s="24"/>
    </row>
    <row r="150" spans="1:54" x14ac:dyDescent="0.25">
      <c r="A150" s="17"/>
      <c r="B150" s="17"/>
      <c r="C150" s="17"/>
      <c r="D150" s="19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29"/>
      <c r="S150" s="17"/>
      <c r="T150" s="17"/>
      <c r="U150" s="17"/>
      <c r="V150" s="20"/>
      <c r="W150" s="20"/>
      <c r="X150" s="22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32"/>
      <c r="AV150" s="36"/>
      <c r="AW150" s="19"/>
      <c r="AX150" s="17"/>
      <c r="AY150" s="17"/>
      <c r="AZ150" s="12"/>
      <c r="BA150" s="12"/>
      <c r="BB150" s="24"/>
    </row>
    <row r="151" spans="1:54" x14ac:dyDescent="0.25">
      <c r="A151" s="17"/>
      <c r="B151" s="17"/>
      <c r="C151" s="17"/>
      <c r="D151" s="19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29"/>
      <c r="S151" s="17"/>
      <c r="T151" s="17"/>
      <c r="U151" s="17"/>
      <c r="V151" s="20"/>
      <c r="W151" s="20"/>
      <c r="X151" s="22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32"/>
      <c r="AV151" s="36"/>
      <c r="AW151" s="19"/>
      <c r="AX151" s="17"/>
      <c r="AY151" s="17"/>
      <c r="AZ151" s="12"/>
      <c r="BA151" s="12"/>
      <c r="BB151" s="24"/>
    </row>
    <row r="152" spans="1:54" x14ac:dyDescent="0.25">
      <c r="A152" s="17"/>
      <c r="B152" s="17"/>
      <c r="C152" s="17"/>
      <c r="D152" s="19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29"/>
      <c r="S152" s="17"/>
      <c r="T152" s="17"/>
      <c r="U152" s="17"/>
      <c r="V152" s="20"/>
      <c r="W152" s="20"/>
      <c r="X152" s="23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32"/>
      <c r="AV152" s="36"/>
      <c r="AW152" s="19"/>
      <c r="AX152" s="17"/>
      <c r="AY152" s="17"/>
      <c r="AZ152" s="12"/>
      <c r="BA152" s="12"/>
      <c r="BB152" s="24"/>
    </row>
    <row r="153" spans="1:54" x14ac:dyDescent="0.25">
      <c r="A153" s="17"/>
      <c r="B153" s="17"/>
      <c r="C153" s="17"/>
      <c r="D153" s="19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29"/>
      <c r="S153" s="17"/>
      <c r="T153" s="17"/>
      <c r="U153" s="17"/>
      <c r="V153" s="20"/>
      <c r="W153" s="20"/>
      <c r="X153" s="22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32"/>
      <c r="AV153" s="36"/>
      <c r="AW153" s="19"/>
      <c r="AX153" s="17"/>
      <c r="AY153" s="17"/>
      <c r="AZ153" s="12"/>
      <c r="BA153" s="12"/>
      <c r="BB153" s="24"/>
    </row>
    <row r="154" spans="1:54" x14ac:dyDescent="0.25">
      <c r="A154" s="17"/>
      <c r="B154" s="17"/>
      <c r="C154" s="17"/>
      <c r="D154" s="19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29"/>
      <c r="S154" s="17"/>
      <c r="T154" s="17"/>
      <c r="U154" s="17"/>
      <c r="V154" s="20"/>
      <c r="W154" s="20"/>
      <c r="X154" s="22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32"/>
      <c r="AV154" s="36"/>
      <c r="AW154" s="19"/>
      <c r="AX154" s="17"/>
      <c r="AY154" s="17"/>
      <c r="AZ154" s="12"/>
      <c r="BA154" s="12"/>
      <c r="BB154" s="24"/>
    </row>
    <row r="155" spans="1:54" x14ac:dyDescent="0.25">
      <c r="A155" s="17"/>
      <c r="B155" s="17"/>
      <c r="C155" s="17"/>
      <c r="D155" s="19"/>
      <c r="E155" s="17"/>
      <c r="F155" s="17"/>
      <c r="G155" s="19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29"/>
      <c r="S155" s="17"/>
      <c r="T155" s="17"/>
      <c r="U155" s="17"/>
      <c r="V155" s="20"/>
      <c r="W155" s="20"/>
      <c r="X155" s="23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32"/>
      <c r="AV155" s="36"/>
      <c r="AW155" s="19"/>
      <c r="AX155" s="17"/>
      <c r="AY155" s="17"/>
      <c r="AZ155" s="12"/>
      <c r="BA155" s="12"/>
      <c r="BB155" s="24"/>
    </row>
    <row r="156" spans="1:54" x14ac:dyDescent="0.25">
      <c r="A156" s="17"/>
      <c r="B156" s="17"/>
      <c r="C156" s="17"/>
      <c r="D156" s="19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29"/>
      <c r="S156" s="17"/>
      <c r="T156" s="17"/>
      <c r="U156" s="17"/>
      <c r="V156" s="20"/>
      <c r="W156" s="20"/>
      <c r="X156" s="23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32"/>
      <c r="AV156" s="36"/>
      <c r="AW156" s="19"/>
      <c r="AX156" s="17"/>
      <c r="AY156" s="17"/>
      <c r="AZ156" s="12"/>
      <c r="BA156" s="12"/>
      <c r="BB156" s="24"/>
    </row>
    <row r="157" spans="1:54" x14ac:dyDescent="0.25">
      <c r="A157" s="17"/>
      <c r="B157" s="17"/>
      <c r="C157" s="17"/>
      <c r="D157" s="19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29"/>
      <c r="S157" s="17"/>
      <c r="T157" s="17"/>
      <c r="U157" s="17"/>
      <c r="V157" s="20"/>
      <c r="W157" s="20"/>
      <c r="X157" s="22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32"/>
      <c r="AV157" s="36"/>
      <c r="AW157" s="19"/>
      <c r="AX157" s="17"/>
      <c r="AY157" s="17"/>
      <c r="AZ157" s="12"/>
      <c r="BA157" s="12"/>
      <c r="BB157" s="24"/>
    </row>
    <row r="158" spans="1:54" x14ac:dyDescent="0.25">
      <c r="A158" s="17"/>
      <c r="B158" s="17"/>
      <c r="C158" s="17"/>
      <c r="D158" s="19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29"/>
      <c r="S158" s="17"/>
      <c r="T158" s="17"/>
      <c r="U158" s="17"/>
      <c r="V158" s="20"/>
      <c r="W158" s="20"/>
      <c r="X158" s="22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32"/>
      <c r="AV158" s="36"/>
      <c r="AW158" s="19"/>
      <c r="AX158" s="17"/>
      <c r="AY158" s="17"/>
      <c r="AZ158" s="12"/>
      <c r="BA158" s="12"/>
      <c r="BB158" s="24"/>
    </row>
    <row r="159" spans="1:54" x14ac:dyDescent="0.25">
      <c r="A159" s="17"/>
      <c r="B159" s="17"/>
      <c r="C159" s="17"/>
      <c r="D159" s="19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29"/>
      <c r="S159" s="17"/>
      <c r="T159" s="17"/>
      <c r="U159" s="17"/>
      <c r="V159" s="20"/>
      <c r="W159" s="20"/>
      <c r="X159" s="22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32"/>
      <c r="AV159" s="36"/>
      <c r="AW159" s="19"/>
      <c r="AX159" s="17"/>
      <c r="AY159" s="17"/>
      <c r="AZ159" s="12"/>
      <c r="BA159" s="12"/>
      <c r="BB159" s="24"/>
    </row>
    <row r="160" spans="1:54" x14ac:dyDescent="0.25">
      <c r="A160" s="17"/>
      <c r="B160" s="17"/>
      <c r="C160" s="17"/>
      <c r="D160" s="19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29"/>
      <c r="S160" s="17"/>
      <c r="T160" s="17"/>
      <c r="U160" s="17"/>
      <c r="V160" s="20"/>
      <c r="W160" s="20"/>
      <c r="X160" s="23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32"/>
      <c r="AV160" s="36"/>
      <c r="AW160" s="19"/>
      <c r="AX160" s="17"/>
      <c r="AY160" s="17"/>
      <c r="AZ160" s="12"/>
      <c r="BA160" s="12"/>
      <c r="BB160" s="24"/>
    </row>
    <row r="161" spans="1:54" x14ac:dyDescent="0.25">
      <c r="A161" s="17"/>
      <c r="B161" s="17"/>
      <c r="C161" s="17"/>
      <c r="D161" s="19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29"/>
      <c r="S161" s="17"/>
      <c r="T161" s="17"/>
      <c r="U161" s="17"/>
      <c r="V161" s="20"/>
      <c r="W161" s="20"/>
      <c r="X161" s="22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32"/>
      <c r="AV161" s="36"/>
      <c r="AW161" s="19"/>
      <c r="AX161" s="17"/>
      <c r="AY161" s="17"/>
      <c r="AZ161" s="12"/>
      <c r="BA161" s="12"/>
      <c r="BB161" s="24"/>
    </row>
    <row r="162" spans="1:54" x14ac:dyDescent="0.25">
      <c r="A162" s="17"/>
      <c r="B162" s="17"/>
      <c r="C162" s="17"/>
      <c r="D162" s="19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29"/>
      <c r="S162" s="17"/>
      <c r="T162" s="17"/>
      <c r="U162" s="17"/>
      <c r="V162" s="20"/>
      <c r="W162" s="20"/>
      <c r="X162" s="22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32"/>
      <c r="AV162" s="36"/>
      <c r="AW162" s="19"/>
      <c r="AX162" s="17"/>
      <c r="AY162" s="17"/>
      <c r="AZ162" s="12"/>
      <c r="BA162" s="12"/>
      <c r="BB162" s="24"/>
    </row>
    <row r="163" spans="1:54" x14ac:dyDescent="0.25">
      <c r="A163" s="17"/>
      <c r="B163" s="17"/>
      <c r="C163" s="17"/>
      <c r="D163" s="19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29"/>
      <c r="S163" s="17"/>
      <c r="T163" s="17"/>
      <c r="U163" s="17"/>
      <c r="V163" s="20"/>
      <c r="W163" s="20"/>
      <c r="X163" s="22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32"/>
      <c r="AV163" s="36"/>
      <c r="AW163" s="19"/>
      <c r="AX163" s="17"/>
      <c r="AY163" s="17"/>
      <c r="AZ163" s="12"/>
      <c r="BA163" s="12"/>
      <c r="BB163" s="24"/>
    </row>
    <row r="164" spans="1:54" x14ac:dyDescent="0.25">
      <c r="A164" s="17"/>
      <c r="B164" s="17"/>
      <c r="C164" s="17"/>
      <c r="D164" s="19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29"/>
      <c r="S164" s="17"/>
      <c r="T164" s="17"/>
      <c r="U164" s="17"/>
      <c r="V164" s="20"/>
      <c r="W164" s="20"/>
      <c r="X164" s="23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32"/>
      <c r="AV164" s="36"/>
      <c r="AW164" s="19"/>
      <c r="AX164" s="17"/>
      <c r="AY164" s="17"/>
      <c r="AZ164" s="17"/>
      <c r="BA164" s="17"/>
      <c r="BB164" s="24"/>
    </row>
    <row r="165" spans="1:54" x14ac:dyDescent="0.25">
      <c r="A165" s="17"/>
      <c r="B165" s="17"/>
      <c r="C165" s="17"/>
      <c r="D165" s="19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29"/>
      <c r="S165" s="17"/>
      <c r="T165" s="17"/>
      <c r="U165" s="17"/>
      <c r="V165" s="20"/>
      <c r="W165" s="20"/>
      <c r="X165" s="22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32"/>
      <c r="AV165" s="36"/>
      <c r="AW165" s="19"/>
      <c r="AX165" s="17"/>
      <c r="AY165" s="17"/>
      <c r="AZ165" s="17"/>
      <c r="BA165" s="17"/>
      <c r="BB165" s="24"/>
    </row>
    <row r="166" spans="1:54" x14ac:dyDescent="0.25">
      <c r="A166" s="17"/>
      <c r="B166" s="17"/>
      <c r="C166" s="17"/>
      <c r="D166" s="19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29"/>
      <c r="S166" s="17"/>
      <c r="T166" s="17"/>
      <c r="U166" s="17"/>
      <c r="V166" s="20"/>
      <c r="W166" s="20"/>
      <c r="X166" s="22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32"/>
      <c r="AV166" s="36"/>
      <c r="AW166" s="19"/>
      <c r="AX166" s="17"/>
      <c r="AY166" s="17"/>
      <c r="AZ166" s="17"/>
      <c r="BA166" s="17"/>
      <c r="BB166" s="24"/>
    </row>
    <row r="167" spans="1:54" x14ac:dyDescent="0.25">
      <c r="A167" s="17"/>
      <c r="B167" s="17"/>
      <c r="C167" s="17"/>
      <c r="D167" s="19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29"/>
      <c r="S167" s="17"/>
      <c r="T167" s="17"/>
      <c r="U167" s="17"/>
      <c r="V167" s="20"/>
      <c r="W167" s="20"/>
      <c r="X167" s="20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32"/>
      <c r="AV167" s="36"/>
      <c r="AW167" s="19"/>
      <c r="AX167" s="17"/>
      <c r="AY167" s="17"/>
      <c r="AZ167" s="17"/>
      <c r="BA167" s="17"/>
      <c r="BB167" s="24"/>
    </row>
    <row r="168" spans="1:54" x14ac:dyDescent="0.25">
      <c r="A168" s="17"/>
      <c r="B168" s="17"/>
      <c r="C168" s="17"/>
      <c r="D168" s="19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29"/>
      <c r="S168" s="17"/>
      <c r="T168" s="17"/>
      <c r="U168" s="17"/>
      <c r="V168" s="20"/>
      <c r="W168" s="20"/>
      <c r="X168" s="20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32"/>
      <c r="AV168" s="36"/>
      <c r="AW168" s="19"/>
      <c r="AX168" s="17"/>
      <c r="AY168" s="17"/>
      <c r="AZ168" s="17"/>
      <c r="BA168" s="17"/>
      <c r="BB168" s="24"/>
    </row>
    <row r="169" spans="1:54" x14ac:dyDescent="0.25">
      <c r="A169" s="17"/>
      <c r="B169" s="17"/>
      <c r="C169" s="17"/>
      <c r="D169" s="19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29"/>
      <c r="S169" s="17"/>
      <c r="T169" s="17"/>
      <c r="U169" s="17"/>
      <c r="V169" s="20"/>
      <c r="W169" s="20"/>
      <c r="X169" s="20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32"/>
      <c r="AV169" s="36"/>
      <c r="AW169" s="19"/>
      <c r="AX169" s="17"/>
      <c r="AY169" s="17"/>
      <c r="AZ169" s="17"/>
      <c r="BA169" s="17"/>
      <c r="BB169" s="24"/>
    </row>
    <row r="170" spans="1:54" x14ac:dyDescent="0.25">
      <c r="A170" s="17"/>
      <c r="B170" s="17"/>
      <c r="C170" s="17"/>
      <c r="D170" s="19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29"/>
      <c r="S170" s="17"/>
      <c r="T170" s="17"/>
      <c r="U170" s="17"/>
      <c r="V170" s="20"/>
      <c r="W170" s="20"/>
      <c r="X170" s="20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32"/>
      <c r="AV170" s="36"/>
      <c r="AW170" s="19"/>
      <c r="AX170" s="17"/>
      <c r="AY170" s="17"/>
      <c r="AZ170" s="17"/>
      <c r="BA170" s="17"/>
      <c r="BB170" s="24"/>
    </row>
    <row r="171" spans="1:54" x14ac:dyDescent="0.25">
      <c r="A171" s="17"/>
      <c r="B171" s="17"/>
      <c r="C171" s="17"/>
      <c r="D171" s="19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29"/>
      <c r="S171" s="17"/>
      <c r="T171" s="17"/>
      <c r="U171" s="17"/>
      <c r="V171" s="20"/>
      <c r="W171" s="20"/>
      <c r="X171" s="20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32"/>
      <c r="AV171" s="36"/>
      <c r="AW171" s="19"/>
      <c r="AX171" s="17"/>
      <c r="AY171" s="17"/>
      <c r="AZ171" s="17"/>
      <c r="BA171" s="17"/>
      <c r="BB171" s="24"/>
    </row>
    <row r="172" spans="1:54" x14ac:dyDescent="0.25">
      <c r="A172" s="17"/>
      <c r="B172" s="17"/>
      <c r="C172" s="17"/>
      <c r="D172" s="19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29"/>
      <c r="S172" s="17"/>
      <c r="T172" s="17"/>
      <c r="U172" s="17"/>
      <c r="V172" s="20"/>
      <c r="W172" s="20"/>
      <c r="X172" s="20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32"/>
      <c r="AV172" s="36"/>
      <c r="AW172" s="19"/>
      <c r="AX172" s="17"/>
      <c r="AY172" s="17"/>
      <c r="AZ172" s="17"/>
      <c r="BA172" s="17"/>
      <c r="BB172" s="24"/>
    </row>
    <row r="173" spans="1:54" x14ac:dyDescent="0.25">
      <c r="A173" s="17"/>
      <c r="B173" s="17"/>
      <c r="C173" s="17"/>
      <c r="D173" s="19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29"/>
      <c r="S173" s="17"/>
      <c r="T173" s="17"/>
      <c r="U173" s="17"/>
      <c r="V173" s="20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32"/>
      <c r="AV173" s="36"/>
      <c r="AW173" s="19"/>
      <c r="AX173" s="17"/>
      <c r="AY173" s="17"/>
      <c r="AZ173" s="17"/>
      <c r="BA173" s="17"/>
      <c r="BB173" s="24"/>
    </row>
    <row r="174" spans="1:54" x14ac:dyDescent="0.25">
      <c r="A174" s="17"/>
      <c r="B174" s="17"/>
      <c r="C174" s="17"/>
      <c r="D174" s="19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29"/>
      <c r="S174" s="17"/>
      <c r="T174" s="17"/>
      <c r="U174" s="17"/>
      <c r="V174" s="20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32"/>
      <c r="AV174" s="36"/>
      <c r="AW174" s="19"/>
      <c r="AX174" s="17"/>
      <c r="AY174" s="17"/>
      <c r="AZ174" s="17"/>
      <c r="BA174" s="17"/>
      <c r="BB174" s="24"/>
    </row>
    <row r="175" spans="1:54" x14ac:dyDescent="0.25">
      <c r="A175" s="17"/>
      <c r="B175" s="17"/>
      <c r="C175" s="17"/>
      <c r="D175" s="19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29"/>
      <c r="S175" s="17"/>
      <c r="T175" s="17"/>
      <c r="U175" s="17"/>
      <c r="V175" s="20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32"/>
      <c r="AV175" s="36"/>
      <c r="AW175" s="19"/>
      <c r="AX175" s="17"/>
      <c r="AY175" s="17"/>
      <c r="AZ175" s="17"/>
      <c r="BA175" s="17"/>
      <c r="BB175" s="24"/>
    </row>
    <row r="176" spans="1:54" x14ac:dyDescent="0.25">
      <c r="A176" s="17"/>
      <c r="B176" s="17"/>
      <c r="C176" s="17"/>
      <c r="D176" s="19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29"/>
      <c r="S176" s="17"/>
      <c r="T176" s="17"/>
      <c r="U176" s="17"/>
      <c r="V176" s="20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32"/>
      <c r="AV176" s="36"/>
      <c r="AW176" s="19"/>
      <c r="AX176" s="17"/>
      <c r="AY176" s="17"/>
      <c r="AZ176" s="17"/>
      <c r="BA176" s="17"/>
      <c r="BB176" s="24"/>
    </row>
    <row r="177" spans="1:54" x14ac:dyDescent="0.25">
      <c r="A177" s="17"/>
      <c r="B177" s="17"/>
      <c r="C177" s="17"/>
      <c r="D177" s="19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29"/>
      <c r="S177" s="17"/>
      <c r="T177" s="17"/>
      <c r="U177" s="17"/>
      <c r="V177" s="20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32"/>
      <c r="AV177" s="36"/>
      <c r="AW177" s="19"/>
      <c r="AX177" s="17"/>
      <c r="AY177" s="17"/>
      <c r="AZ177" s="17"/>
      <c r="BA177" s="17"/>
      <c r="BB177" s="24"/>
    </row>
    <row r="178" spans="1:54" x14ac:dyDescent="0.25">
      <c r="A178" s="17"/>
      <c r="B178" s="17"/>
      <c r="C178" s="17"/>
      <c r="D178" s="19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29"/>
      <c r="S178" s="17"/>
      <c r="T178" s="17"/>
      <c r="U178" s="17"/>
      <c r="V178" s="20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32"/>
      <c r="AV178" s="36"/>
      <c r="AW178" s="19"/>
      <c r="AX178" s="17"/>
      <c r="AY178" s="17"/>
      <c r="AZ178" s="17"/>
      <c r="BA178" s="17"/>
      <c r="BB178" s="24"/>
    </row>
    <row r="179" spans="1:54" x14ac:dyDescent="0.25">
      <c r="A179" s="17"/>
      <c r="B179" s="17"/>
      <c r="C179" s="17"/>
      <c r="D179" s="19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29"/>
      <c r="S179" s="17"/>
      <c r="T179" s="17"/>
      <c r="U179" s="17"/>
      <c r="V179" s="20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32"/>
      <c r="AV179" s="36"/>
      <c r="AW179" s="19"/>
      <c r="AX179" s="17"/>
      <c r="AY179" s="17"/>
      <c r="AZ179" s="17"/>
      <c r="BA179" s="17"/>
      <c r="BB179" s="24"/>
    </row>
    <row r="180" spans="1:54" x14ac:dyDescent="0.25">
      <c r="A180" s="17"/>
      <c r="B180" s="17"/>
      <c r="C180" s="17"/>
      <c r="D180" s="19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29"/>
      <c r="S180" s="17"/>
      <c r="T180" s="17"/>
      <c r="U180" s="17"/>
      <c r="V180" s="20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32"/>
      <c r="AV180" s="36"/>
      <c r="AW180" s="19"/>
      <c r="AX180" s="17"/>
      <c r="AY180" s="17"/>
      <c r="AZ180" s="17"/>
      <c r="BA180" s="17"/>
      <c r="BB180" s="24"/>
    </row>
    <row r="181" spans="1:54" x14ac:dyDescent="0.25">
      <c r="A181" s="17"/>
      <c r="B181" s="17"/>
      <c r="C181" s="17"/>
      <c r="D181" s="19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29"/>
      <c r="S181" s="17"/>
      <c r="T181" s="17"/>
      <c r="U181" s="17"/>
      <c r="V181" s="20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32"/>
      <c r="AV181" s="36"/>
      <c r="AW181" s="19"/>
      <c r="AX181" s="17"/>
      <c r="AY181" s="17"/>
      <c r="AZ181" s="17"/>
      <c r="BA181" s="17"/>
      <c r="BB181" s="24"/>
    </row>
    <row r="182" spans="1:54" x14ac:dyDescent="0.25">
      <c r="A182" s="17"/>
      <c r="B182" s="17"/>
      <c r="C182" s="17"/>
      <c r="D182" s="19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29"/>
      <c r="S182" s="17"/>
      <c r="T182" s="17"/>
      <c r="U182" s="17"/>
      <c r="V182" s="20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32"/>
      <c r="AV182" s="36"/>
      <c r="AW182" s="19"/>
      <c r="AX182" s="17"/>
      <c r="AY182" s="17"/>
      <c r="AZ182" s="17"/>
      <c r="BA182" s="17"/>
      <c r="BB182" s="24"/>
    </row>
    <row r="183" spans="1:54" x14ac:dyDescent="0.25">
      <c r="A183" s="17"/>
      <c r="B183" s="17"/>
      <c r="C183" s="17"/>
      <c r="D183" s="19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29"/>
      <c r="S183" s="17"/>
      <c r="T183" s="17"/>
      <c r="U183" s="17"/>
      <c r="V183" s="20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32"/>
      <c r="AV183" s="36"/>
      <c r="AW183" s="19"/>
      <c r="AX183" s="17"/>
      <c r="AY183" s="17"/>
      <c r="AZ183" s="17"/>
      <c r="BA183" s="17"/>
      <c r="BB183" s="24"/>
    </row>
    <row r="184" spans="1:54" x14ac:dyDescent="0.25">
      <c r="A184" s="27"/>
      <c r="B184" s="27"/>
      <c r="C184" s="17"/>
      <c r="D184" s="34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30"/>
      <c r="S184" s="27"/>
      <c r="T184" s="27"/>
      <c r="U184" s="27"/>
      <c r="V184" s="20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33"/>
      <c r="AV184" s="36"/>
      <c r="AW184" s="34"/>
      <c r="AX184" s="27"/>
      <c r="AY184" s="27"/>
      <c r="AZ184" s="27"/>
      <c r="BA184" s="27"/>
      <c r="BB184" s="24"/>
    </row>
    <row r="185" spans="1:54" s="17" customFormat="1" x14ac:dyDescent="0.25">
      <c r="D185" s="19"/>
      <c r="R185" s="29"/>
      <c r="V185" s="20"/>
      <c r="AU185" s="32"/>
      <c r="AV185" s="36"/>
      <c r="AW185" s="19"/>
      <c r="BB185" s="24"/>
    </row>
    <row r="186" spans="1:54" s="17" customFormat="1" x14ac:dyDescent="0.25">
      <c r="D186" s="19"/>
      <c r="R186" s="29"/>
      <c r="V186" s="20"/>
      <c r="AU186" s="32"/>
      <c r="AV186" s="36"/>
      <c r="AW186" s="19"/>
      <c r="BB186" s="24"/>
    </row>
    <row r="187" spans="1:54" s="17" customFormat="1" x14ac:dyDescent="0.25">
      <c r="D187" s="19"/>
      <c r="R187" s="29"/>
      <c r="V187" s="20"/>
      <c r="AU187" s="32"/>
      <c r="AV187" s="36"/>
      <c r="AW187" s="19"/>
      <c r="BB187" s="24"/>
    </row>
    <row r="188" spans="1:54" s="17" customFormat="1" x14ac:dyDescent="0.25">
      <c r="D188" s="19"/>
      <c r="R188" s="29"/>
      <c r="V188" s="20"/>
      <c r="AU188" s="32"/>
      <c r="AV188" s="36"/>
      <c r="AW188" s="19"/>
      <c r="BB188" s="24"/>
    </row>
    <row r="189" spans="1:54" s="17" customFormat="1" x14ac:dyDescent="0.25">
      <c r="D189" s="19"/>
      <c r="R189" s="29"/>
      <c r="V189" s="20"/>
      <c r="AU189" s="32"/>
      <c r="AV189" s="36"/>
      <c r="AW189" s="19"/>
      <c r="BB189" s="24"/>
    </row>
    <row r="190" spans="1:54" s="17" customFormat="1" x14ac:dyDescent="0.25">
      <c r="D190" s="19"/>
      <c r="R190" s="29"/>
      <c r="V190" s="20"/>
      <c r="AU190" s="32"/>
      <c r="AV190" s="36"/>
      <c r="AW190" s="19"/>
      <c r="BB190" s="24"/>
    </row>
    <row r="191" spans="1:54" s="17" customFormat="1" x14ac:dyDescent="0.25">
      <c r="D191" s="19"/>
      <c r="R191" s="29"/>
      <c r="V191" s="20"/>
      <c r="AU191" s="32"/>
      <c r="AV191" s="36"/>
      <c r="AW191" s="19"/>
      <c r="BB191" s="24"/>
    </row>
    <row r="192" spans="1:54" s="17" customFormat="1" x14ac:dyDescent="0.25">
      <c r="D192" s="19"/>
      <c r="R192" s="29"/>
      <c r="V192" s="20"/>
      <c r="AU192" s="32"/>
      <c r="AV192" s="36"/>
      <c r="AW192" s="19"/>
      <c r="BB192" s="24"/>
    </row>
    <row r="193" spans="4:54" s="17" customFormat="1" x14ac:dyDescent="0.25">
      <c r="D193" s="19"/>
      <c r="R193" s="29"/>
      <c r="V193" s="20"/>
      <c r="AU193" s="32"/>
      <c r="AV193" s="36"/>
      <c r="AW193" s="19"/>
      <c r="BB193" s="24"/>
    </row>
    <row r="194" spans="4:54" s="17" customFormat="1" x14ac:dyDescent="0.25">
      <c r="R194" s="29"/>
      <c r="V194" s="20"/>
      <c r="AU194" s="32"/>
      <c r="AV194" s="36"/>
      <c r="AW194" s="19"/>
    </row>
    <row r="195" spans="4:54" s="17" customFormat="1" x14ac:dyDescent="0.25">
      <c r="R195" s="29"/>
      <c r="V195" s="20"/>
      <c r="AU195" s="32"/>
      <c r="AV195" s="36"/>
      <c r="AW195" s="19"/>
    </row>
    <row r="196" spans="4:54" s="17" customFormat="1" x14ac:dyDescent="0.25">
      <c r="R196" s="29"/>
      <c r="V196" s="20"/>
      <c r="AU196" s="32"/>
      <c r="AV196" s="36"/>
      <c r="AW196" s="19"/>
    </row>
    <row r="197" spans="4:54" s="17" customFormat="1" x14ac:dyDescent="0.25">
      <c r="R197" s="29"/>
      <c r="V197" s="20"/>
      <c r="AU197" s="32"/>
      <c r="AV197" s="36"/>
      <c r="AW197" s="19"/>
    </row>
    <row r="198" spans="4:54" s="17" customFormat="1" x14ac:dyDescent="0.25">
      <c r="R198" s="29"/>
      <c r="V198" s="20"/>
      <c r="AU198" s="32"/>
      <c r="AV198" s="36"/>
      <c r="AW198" s="19"/>
    </row>
    <row r="199" spans="4:54" s="17" customFormat="1" x14ac:dyDescent="0.25">
      <c r="R199" s="29"/>
      <c r="V199" s="20"/>
      <c r="AU199" s="32"/>
      <c r="AV199" s="36"/>
      <c r="AW199" s="19"/>
    </row>
    <row r="200" spans="4:54" s="17" customFormat="1" x14ac:dyDescent="0.25">
      <c r="R200" s="29"/>
      <c r="V200" s="20"/>
      <c r="AU200" s="32"/>
      <c r="AV200" s="36"/>
      <c r="AW200" s="19"/>
    </row>
    <row r="201" spans="4:54" s="17" customFormat="1" x14ac:dyDescent="0.25">
      <c r="R201" s="29"/>
      <c r="V201" s="20"/>
      <c r="AU201" s="32"/>
      <c r="AV201" s="36"/>
      <c r="AW201" s="19"/>
    </row>
    <row r="202" spans="4:54" s="17" customFormat="1" x14ac:dyDescent="0.25">
      <c r="R202" s="29"/>
      <c r="V202" s="20"/>
      <c r="AU202" s="32"/>
      <c r="AV202" s="36"/>
      <c r="AW202" s="19"/>
    </row>
    <row r="203" spans="4:54" s="17" customFormat="1" x14ac:dyDescent="0.25">
      <c r="R203" s="29"/>
      <c r="V203" s="20"/>
      <c r="AU203" s="32"/>
      <c r="AV203" s="36"/>
      <c r="AW203" s="19"/>
    </row>
    <row r="204" spans="4:54" s="17" customFormat="1" x14ac:dyDescent="0.25">
      <c r="R204" s="29"/>
      <c r="V204" s="20"/>
      <c r="AU204" s="32"/>
      <c r="AV204" s="36"/>
      <c r="AW204" s="19"/>
    </row>
    <row r="205" spans="4:54" s="17" customFormat="1" x14ac:dyDescent="0.25">
      <c r="R205" s="29"/>
      <c r="V205" s="20"/>
      <c r="AU205" s="32"/>
      <c r="AV205" s="36"/>
      <c r="AW205" s="19"/>
    </row>
    <row r="206" spans="4:54" s="17" customFormat="1" x14ac:dyDescent="0.25">
      <c r="R206" s="29"/>
      <c r="V206" s="20"/>
      <c r="AU206" s="32"/>
      <c r="AV206" s="36"/>
      <c r="AW206" s="19"/>
    </row>
    <row r="207" spans="4:54" s="17" customFormat="1" x14ac:dyDescent="0.25">
      <c r="R207" s="29"/>
      <c r="V207" s="20"/>
      <c r="AU207" s="32"/>
      <c r="AV207" s="36"/>
      <c r="AW207" s="19"/>
    </row>
    <row r="208" spans="4:54" s="17" customFormat="1" x14ac:dyDescent="0.25">
      <c r="R208" s="29"/>
      <c r="V208" s="20"/>
      <c r="AU208" s="32"/>
      <c r="AV208" s="36"/>
      <c r="AW208" s="19"/>
    </row>
    <row r="209" spans="18:49" s="17" customFormat="1" x14ac:dyDescent="0.25">
      <c r="R209" s="29"/>
      <c r="V209" s="20"/>
      <c r="AU209" s="32"/>
      <c r="AV209" s="36"/>
      <c r="AW209" s="19"/>
    </row>
    <row r="210" spans="18:49" s="17" customFormat="1" x14ac:dyDescent="0.25">
      <c r="R210" s="29"/>
      <c r="V210" s="20"/>
      <c r="AU210" s="32"/>
      <c r="AV210" s="36"/>
      <c r="AW210" s="19"/>
    </row>
    <row r="211" spans="18:49" s="17" customFormat="1" x14ac:dyDescent="0.25">
      <c r="R211" s="29"/>
      <c r="V211" s="20"/>
      <c r="AU211" s="32"/>
      <c r="AV211" s="36"/>
      <c r="AW211" s="19"/>
    </row>
    <row r="212" spans="18:49" s="17" customFormat="1" x14ac:dyDescent="0.25">
      <c r="R212" s="29"/>
      <c r="V212" s="20"/>
      <c r="AU212" s="32"/>
      <c r="AV212" s="36"/>
      <c r="AW212" s="19"/>
    </row>
    <row r="213" spans="18:49" s="17" customFormat="1" x14ac:dyDescent="0.25">
      <c r="R213" s="29"/>
      <c r="V213" s="20"/>
      <c r="AU213" s="32"/>
      <c r="AV213" s="36"/>
      <c r="AW213" s="19"/>
    </row>
    <row r="214" spans="18:49" s="17" customFormat="1" x14ac:dyDescent="0.25">
      <c r="R214" s="29"/>
      <c r="V214" s="20"/>
      <c r="AU214" s="32"/>
      <c r="AV214" s="36"/>
      <c r="AW214" s="19"/>
    </row>
    <row r="215" spans="18:49" s="17" customFormat="1" x14ac:dyDescent="0.25">
      <c r="R215" s="29"/>
      <c r="V215" s="20"/>
      <c r="AU215" s="32"/>
      <c r="AV215" s="36"/>
      <c r="AW215" s="19"/>
    </row>
    <row r="216" spans="18:49" s="17" customFormat="1" x14ac:dyDescent="0.25">
      <c r="R216" s="29"/>
      <c r="V216" s="20"/>
      <c r="AU216" s="32"/>
      <c r="AV216" s="36"/>
      <c r="AW216" s="19"/>
    </row>
    <row r="217" spans="18:49" s="17" customFormat="1" x14ac:dyDescent="0.25">
      <c r="R217" s="29"/>
      <c r="V217" s="20"/>
      <c r="AU217" s="32"/>
      <c r="AV217" s="36"/>
      <c r="AW217" s="19"/>
    </row>
    <row r="218" spans="18:49" s="17" customFormat="1" x14ac:dyDescent="0.25">
      <c r="R218" s="29"/>
      <c r="V218" s="20"/>
      <c r="AU218" s="32"/>
      <c r="AV218" s="36"/>
      <c r="AW218" s="19"/>
    </row>
    <row r="219" spans="18:49" s="17" customFormat="1" x14ac:dyDescent="0.25">
      <c r="R219" s="29"/>
      <c r="V219" s="20"/>
      <c r="AU219" s="32"/>
      <c r="AV219" s="36"/>
      <c r="AW219" s="19"/>
    </row>
    <row r="220" spans="18:49" s="17" customFormat="1" x14ac:dyDescent="0.25">
      <c r="R220" s="29"/>
      <c r="V220" s="20"/>
      <c r="AU220" s="32"/>
      <c r="AV220" s="36"/>
      <c r="AW220" s="19"/>
    </row>
    <row r="221" spans="18:49" s="17" customFormat="1" x14ac:dyDescent="0.25">
      <c r="R221" s="29"/>
      <c r="V221" s="20"/>
      <c r="AU221" s="32"/>
      <c r="AV221" s="36"/>
      <c r="AW221" s="19"/>
    </row>
    <row r="222" spans="18:49" s="17" customFormat="1" x14ac:dyDescent="0.25">
      <c r="R222" s="29"/>
      <c r="V222" s="20"/>
      <c r="AU222" s="32"/>
      <c r="AV222" s="36"/>
      <c r="AW222" s="19"/>
    </row>
    <row r="223" spans="18:49" s="17" customFormat="1" x14ac:dyDescent="0.25">
      <c r="R223" s="29"/>
      <c r="V223" s="20"/>
      <c r="AU223" s="32"/>
      <c r="AV223" s="36"/>
      <c r="AW223" s="19"/>
    </row>
    <row r="224" spans="18:49" s="17" customFormat="1" x14ac:dyDescent="0.25">
      <c r="R224" s="29"/>
      <c r="V224" s="20"/>
      <c r="AU224" s="32"/>
      <c r="AV224" s="36"/>
      <c r="AW224" s="19"/>
    </row>
    <row r="225" spans="18:49" s="17" customFormat="1" x14ac:dyDescent="0.25">
      <c r="R225" s="29"/>
      <c r="V225" s="20"/>
      <c r="AU225" s="32"/>
      <c r="AV225" s="36"/>
      <c r="AW225" s="19"/>
    </row>
    <row r="226" spans="18:49" s="17" customFormat="1" x14ac:dyDescent="0.25">
      <c r="R226" s="29"/>
      <c r="V226" s="20"/>
      <c r="AU226" s="32"/>
      <c r="AV226" s="36"/>
      <c r="AW226" s="19"/>
    </row>
    <row r="227" spans="18:49" s="17" customFormat="1" x14ac:dyDescent="0.25">
      <c r="R227" s="29"/>
      <c r="V227" s="20"/>
      <c r="AU227" s="32"/>
      <c r="AV227" s="36"/>
      <c r="AW227" s="19"/>
    </row>
    <row r="228" spans="18:49" s="17" customFormat="1" x14ac:dyDescent="0.25">
      <c r="R228" s="29"/>
      <c r="V228" s="20"/>
      <c r="AU228" s="32"/>
      <c r="AV228" s="36"/>
      <c r="AW228" s="19"/>
    </row>
    <row r="229" spans="18:49" s="17" customFormat="1" x14ac:dyDescent="0.25">
      <c r="R229" s="29"/>
      <c r="V229" s="20"/>
      <c r="AU229" s="32"/>
      <c r="AV229" s="36"/>
      <c r="AW229" s="19"/>
    </row>
    <row r="230" spans="18:49" s="17" customFormat="1" x14ac:dyDescent="0.25">
      <c r="R230" s="29"/>
      <c r="V230" s="20"/>
      <c r="AU230" s="32"/>
      <c r="AV230" s="36"/>
      <c r="AW230" s="19"/>
    </row>
    <row r="231" spans="18:49" s="17" customFormat="1" x14ac:dyDescent="0.25">
      <c r="R231" s="29"/>
      <c r="V231" s="20"/>
      <c r="AU231" s="32"/>
      <c r="AV231" s="36"/>
      <c r="AW231" s="19"/>
    </row>
    <row r="232" spans="18:49" s="17" customFormat="1" x14ac:dyDescent="0.25">
      <c r="R232" s="29"/>
      <c r="V232" s="20"/>
      <c r="AU232" s="32"/>
      <c r="AV232" s="36"/>
      <c r="AW232" s="19"/>
    </row>
    <row r="233" spans="18:49" s="17" customFormat="1" x14ac:dyDescent="0.25">
      <c r="R233" s="29"/>
      <c r="V233" s="20"/>
      <c r="AU233" s="32"/>
      <c r="AV233" s="36"/>
      <c r="AW233" s="19"/>
    </row>
    <row r="234" spans="18:49" s="17" customFormat="1" x14ac:dyDescent="0.25">
      <c r="R234" s="29"/>
      <c r="V234" s="20"/>
      <c r="AU234" s="32"/>
      <c r="AV234" s="36"/>
      <c r="AW234" s="19"/>
    </row>
    <row r="235" spans="18:49" s="17" customFormat="1" x14ac:dyDescent="0.25">
      <c r="R235" s="29"/>
      <c r="V235" s="20"/>
      <c r="AU235" s="32"/>
      <c r="AV235" s="36"/>
      <c r="AW235" s="19"/>
    </row>
    <row r="236" spans="18:49" s="17" customFormat="1" x14ac:dyDescent="0.25">
      <c r="R236" s="29"/>
      <c r="V236" s="20"/>
      <c r="AU236" s="32"/>
      <c r="AV236" s="36"/>
      <c r="AW236" s="19"/>
    </row>
    <row r="237" spans="18:49" s="17" customFormat="1" x14ac:dyDescent="0.25">
      <c r="R237" s="29"/>
      <c r="V237" s="20"/>
      <c r="AU237" s="32"/>
      <c r="AV237" s="36"/>
      <c r="AW237" s="19"/>
    </row>
    <row r="238" spans="18:49" s="17" customFormat="1" x14ac:dyDescent="0.25">
      <c r="R238" s="29"/>
      <c r="V238" s="20"/>
      <c r="AU238" s="32"/>
      <c r="AV238" s="36"/>
      <c r="AW238" s="19"/>
    </row>
    <row r="239" spans="18:49" s="17" customFormat="1" x14ac:dyDescent="0.25">
      <c r="R239" s="29"/>
      <c r="V239" s="20"/>
      <c r="AU239" s="32"/>
      <c r="AV239" s="36"/>
      <c r="AW239" s="19"/>
    </row>
    <row r="240" spans="18:49" s="17" customFormat="1" x14ac:dyDescent="0.25">
      <c r="R240" s="29"/>
      <c r="V240" s="20"/>
      <c r="AU240" s="32"/>
      <c r="AV240" s="36"/>
      <c r="AW240" s="19"/>
    </row>
    <row r="241" spans="18:49" s="17" customFormat="1" x14ac:dyDescent="0.25">
      <c r="R241" s="29"/>
      <c r="V241" s="20"/>
      <c r="AU241" s="32"/>
      <c r="AV241" s="36"/>
      <c r="AW241" s="19"/>
    </row>
    <row r="242" spans="18:49" s="17" customFormat="1" x14ac:dyDescent="0.25">
      <c r="R242" s="29"/>
      <c r="V242" s="20"/>
      <c r="AU242" s="32"/>
      <c r="AV242" s="36"/>
      <c r="AW242" s="19"/>
    </row>
    <row r="243" spans="18:49" s="17" customFormat="1" x14ac:dyDescent="0.25">
      <c r="R243" s="29"/>
      <c r="V243" s="20"/>
      <c r="AU243" s="32"/>
      <c r="AV243" s="36"/>
      <c r="AW243" s="19"/>
    </row>
    <row r="244" spans="18:49" s="17" customFormat="1" x14ac:dyDescent="0.25">
      <c r="R244" s="29"/>
      <c r="V244" s="20"/>
      <c r="AU244" s="32"/>
      <c r="AV244" s="36"/>
      <c r="AW244" s="19"/>
    </row>
    <row r="245" spans="18:49" s="17" customFormat="1" x14ac:dyDescent="0.25">
      <c r="R245" s="29"/>
      <c r="V245" s="20"/>
      <c r="AU245" s="32"/>
      <c r="AV245" s="36"/>
      <c r="AW245" s="19"/>
    </row>
    <row r="246" spans="18:49" s="17" customFormat="1" x14ac:dyDescent="0.25">
      <c r="R246" s="29"/>
      <c r="V246" s="20"/>
      <c r="AU246" s="32"/>
      <c r="AV246" s="36"/>
      <c r="AW246" s="19"/>
    </row>
    <row r="247" spans="18:49" s="17" customFormat="1" x14ac:dyDescent="0.25">
      <c r="R247" s="29"/>
      <c r="V247" s="20"/>
      <c r="AU247" s="32"/>
      <c r="AV247" s="36"/>
      <c r="AW247" s="19"/>
    </row>
    <row r="248" spans="18:49" s="17" customFormat="1" x14ac:dyDescent="0.25">
      <c r="R248" s="29"/>
      <c r="V248" s="20"/>
      <c r="AU248" s="32"/>
      <c r="AV248" s="36"/>
      <c r="AW248" s="19"/>
    </row>
    <row r="249" spans="18:49" s="17" customFormat="1" x14ac:dyDescent="0.25">
      <c r="R249" s="29"/>
      <c r="V249" s="20"/>
      <c r="AU249" s="32"/>
      <c r="AV249" s="36"/>
      <c r="AW249" s="19"/>
    </row>
    <row r="250" spans="18:49" s="17" customFormat="1" x14ac:dyDescent="0.25">
      <c r="R250" s="29"/>
      <c r="V250" s="20"/>
      <c r="AU250" s="32"/>
      <c r="AV250" s="36"/>
      <c r="AW250" s="19"/>
    </row>
    <row r="251" spans="18:49" s="17" customFormat="1" x14ac:dyDescent="0.25">
      <c r="R251" s="29"/>
      <c r="V251" s="20"/>
      <c r="AU251" s="32"/>
      <c r="AV251" s="36"/>
      <c r="AW251" s="19"/>
    </row>
    <row r="252" spans="18:49" s="17" customFormat="1" x14ac:dyDescent="0.25">
      <c r="R252" s="29"/>
      <c r="V252" s="20"/>
      <c r="AU252" s="32"/>
      <c r="AV252" s="36"/>
      <c r="AW252" s="19"/>
    </row>
    <row r="253" spans="18:49" s="17" customFormat="1" x14ac:dyDescent="0.25">
      <c r="R253" s="29"/>
      <c r="V253" s="20"/>
      <c r="AU253" s="32"/>
      <c r="AV253" s="36"/>
      <c r="AW253" s="19"/>
    </row>
  </sheetData>
  <autoFilter ref="A12:BB166" xr:uid="{0851C4A1-16EC-4493-83B8-F6E34C3D9C40}"/>
  <mergeCells count="5">
    <mergeCell ref="A11:G11"/>
    <mergeCell ref="H11:Q11"/>
    <mergeCell ref="R11:AA11"/>
    <mergeCell ref="AB11:AU11"/>
    <mergeCell ref="AV11:BB11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2" r:id="rId4" name="Button 38">
              <controlPr defaultSize="0" print="0" autoFill="0" autoPict="0" macro="[0]!GuardarComoTXTConPipes">
                <anchor moveWithCells="1" sizeWithCells="1">
                  <from>
                    <xdr:col>3</xdr:col>
                    <xdr:colOff>247650</xdr:colOff>
                    <xdr:row>2</xdr:row>
                    <xdr:rowOff>57150</xdr:rowOff>
                  </from>
                  <to>
                    <xdr:col>6</xdr:col>
                    <xdr:colOff>504825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" name="Button 45">
              <controlPr defaultSize="0" print="0" autoFill="0" autoPict="0" macro="[0]!ConsolidarYSumar">
                <anchor moveWithCells="1" sizeWithCells="1">
                  <from>
                    <xdr:col>7</xdr:col>
                    <xdr:colOff>685800</xdr:colOff>
                    <xdr:row>2</xdr:row>
                    <xdr:rowOff>133350</xdr:rowOff>
                  </from>
                  <to>
                    <xdr:col>10</xdr:col>
                    <xdr:colOff>9525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FB390-D43F-4A02-92E1-5297BC040642}">
  <dimension ref="A1:K44"/>
  <sheetViews>
    <sheetView topLeftCell="A16" workbookViewId="0">
      <selection activeCell="G44" sqref="G44:J44"/>
    </sheetView>
  </sheetViews>
  <sheetFormatPr baseColWidth="10" defaultColWidth="9.140625" defaultRowHeight="15" x14ac:dyDescent="0.25"/>
  <cols>
    <col min="1" max="1" width="50.7109375" customWidth="1"/>
  </cols>
  <sheetData>
    <row r="1" spans="1:11" ht="15.75" thickBot="1" x14ac:dyDescent="0.3">
      <c r="A1" s="14"/>
      <c r="B1" s="14" t="s">
        <v>0</v>
      </c>
      <c r="C1" s="14" t="s">
        <v>1</v>
      </c>
      <c r="D1" s="14" t="s">
        <v>2</v>
      </c>
      <c r="E1" s="14" t="s">
        <v>80</v>
      </c>
      <c r="F1" s="14" t="s">
        <v>81</v>
      </c>
      <c r="G1" s="14" t="s">
        <v>82</v>
      </c>
      <c r="H1" s="14" t="s">
        <v>83</v>
      </c>
      <c r="I1" s="14" t="s">
        <v>84</v>
      </c>
      <c r="J1" s="14" t="s">
        <v>85</v>
      </c>
    </row>
    <row r="2" spans="1:11" ht="15.75" x14ac:dyDescent="0.25">
      <c r="A2" s="37" t="s">
        <v>274</v>
      </c>
      <c r="B2" s="16" t="s">
        <v>55</v>
      </c>
      <c r="C2" s="16" t="s">
        <v>56</v>
      </c>
      <c r="D2" s="16" t="s">
        <v>275</v>
      </c>
      <c r="E2" s="16" t="s">
        <v>86</v>
      </c>
      <c r="F2" s="16" t="s">
        <v>87</v>
      </c>
      <c r="G2" s="16">
        <v>259</v>
      </c>
      <c r="H2" s="16">
        <v>4398</v>
      </c>
      <c r="I2" s="16">
        <v>0</v>
      </c>
      <c r="J2" s="16">
        <v>0</v>
      </c>
      <c r="K2">
        <f t="shared" ref="K2:K42" si="0">SUM(G2:J2)</f>
        <v>4657</v>
      </c>
    </row>
    <row r="3" spans="1:11" ht="15.75" x14ac:dyDescent="0.25">
      <c r="A3" s="37" t="s">
        <v>88</v>
      </c>
      <c r="B3" s="16" t="s">
        <v>55</v>
      </c>
      <c r="C3" s="16" t="s">
        <v>56</v>
      </c>
      <c r="D3" s="16" t="s">
        <v>59</v>
      </c>
      <c r="E3" s="16" t="s">
        <v>86</v>
      </c>
      <c r="F3" s="16" t="s">
        <v>87</v>
      </c>
      <c r="G3" s="16">
        <v>59765</v>
      </c>
      <c r="H3" s="16">
        <v>0</v>
      </c>
      <c r="I3" s="16">
        <v>0</v>
      </c>
      <c r="J3" s="16">
        <v>0</v>
      </c>
      <c r="K3">
        <f t="shared" si="0"/>
        <v>59765</v>
      </c>
    </row>
    <row r="4" spans="1:11" ht="15.75" x14ac:dyDescent="0.25">
      <c r="A4" s="37" t="s">
        <v>323</v>
      </c>
      <c r="B4" s="16" t="s">
        <v>55</v>
      </c>
      <c r="C4" s="16" t="s">
        <v>56</v>
      </c>
      <c r="D4" s="16" t="s">
        <v>324</v>
      </c>
      <c r="E4" s="16" t="s">
        <v>86</v>
      </c>
      <c r="F4" s="16" t="s">
        <v>87</v>
      </c>
      <c r="G4" s="16">
        <v>0</v>
      </c>
      <c r="H4" s="16">
        <v>376</v>
      </c>
      <c r="I4" s="16">
        <v>0</v>
      </c>
      <c r="J4" s="16">
        <v>0</v>
      </c>
      <c r="K4">
        <f t="shared" si="0"/>
        <v>376</v>
      </c>
    </row>
    <row r="5" spans="1:11" ht="15.75" x14ac:dyDescent="0.25">
      <c r="A5" s="37" t="s">
        <v>110</v>
      </c>
      <c r="B5" s="16" t="s">
        <v>55</v>
      </c>
      <c r="C5" s="16" t="s">
        <v>56</v>
      </c>
      <c r="D5" s="16" t="s">
        <v>111</v>
      </c>
      <c r="E5" s="16" t="s">
        <v>86</v>
      </c>
      <c r="F5" s="16" t="s">
        <v>87</v>
      </c>
      <c r="G5" s="16">
        <v>4132</v>
      </c>
      <c r="H5" s="16">
        <v>0</v>
      </c>
      <c r="I5" s="16">
        <v>0</v>
      </c>
      <c r="J5" s="16">
        <v>0</v>
      </c>
      <c r="K5">
        <f t="shared" si="0"/>
        <v>4132</v>
      </c>
    </row>
    <row r="6" spans="1:11" ht="15.75" x14ac:dyDescent="0.25">
      <c r="A6" s="37" t="s">
        <v>89</v>
      </c>
      <c r="B6" s="16" t="s">
        <v>55</v>
      </c>
      <c r="C6" s="16" t="s">
        <v>56</v>
      </c>
      <c r="D6" s="16" t="s">
        <v>60</v>
      </c>
      <c r="E6" s="16" t="s">
        <v>86</v>
      </c>
      <c r="F6" s="16" t="s">
        <v>87</v>
      </c>
      <c r="G6" s="16">
        <v>5521</v>
      </c>
      <c r="H6" s="16">
        <v>0</v>
      </c>
      <c r="I6" s="16">
        <v>0</v>
      </c>
      <c r="J6" s="16">
        <v>0</v>
      </c>
      <c r="K6">
        <f t="shared" si="0"/>
        <v>5521</v>
      </c>
    </row>
    <row r="7" spans="1:11" ht="15.75" x14ac:dyDescent="0.25">
      <c r="A7" s="37" t="s">
        <v>90</v>
      </c>
      <c r="B7" s="16" t="s">
        <v>55</v>
      </c>
      <c r="C7" s="16" t="s">
        <v>56</v>
      </c>
      <c r="D7" s="16" t="s">
        <v>61</v>
      </c>
      <c r="E7" s="16" t="s">
        <v>86</v>
      </c>
      <c r="F7" s="16" t="s">
        <v>87</v>
      </c>
      <c r="G7" s="16">
        <v>1803</v>
      </c>
      <c r="H7" s="16">
        <v>3511</v>
      </c>
      <c r="I7" s="16">
        <v>0</v>
      </c>
      <c r="J7" s="16">
        <v>0</v>
      </c>
      <c r="K7">
        <f t="shared" si="0"/>
        <v>5314</v>
      </c>
    </row>
    <row r="8" spans="1:11" ht="15.75" x14ac:dyDescent="0.25">
      <c r="A8" s="37" t="s">
        <v>276</v>
      </c>
      <c r="B8" s="16" t="s">
        <v>55</v>
      </c>
      <c r="C8" s="16" t="s">
        <v>56</v>
      </c>
      <c r="D8" s="16" t="s">
        <v>277</v>
      </c>
      <c r="E8" s="16" t="s">
        <v>86</v>
      </c>
      <c r="F8" s="16" t="s">
        <v>87</v>
      </c>
      <c r="G8" s="16">
        <v>507</v>
      </c>
      <c r="H8" s="16">
        <v>0</v>
      </c>
      <c r="I8" s="16">
        <v>0</v>
      </c>
      <c r="J8" s="16">
        <v>0</v>
      </c>
      <c r="K8">
        <f t="shared" si="0"/>
        <v>507</v>
      </c>
    </row>
    <row r="9" spans="1:11" ht="15.75" x14ac:dyDescent="0.25">
      <c r="A9" s="37" t="s">
        <v>250</v>
      </c>
      <c r="B9" s="16" t="s">
        <v>55</v>
      </c>
      <c r="C9" s="16" t="s">
        <v>56</v>
      </c>
      <c r="D9" s="16" t="s">
        <v>251</v>
      </c>
      <c r="E9" s="16" t="s">
        <v>86</v>
      </c>
      <c r="F9" s="16" t="s">
        <v>87</v>
      </c>
      <c r="G9" s="16">
        <v>0</v>
      </c>
      <c r="H9" s="16">
        <v>0</v>
      </c>
      <c r="I9" s="16">
        <v>2000</v>
      </c>
      <c r="J9" s="16">
        <v>0</v>
      </c>
      <c r="K9">
        <f t="shared" si="0"/>
        <v>2000</v>
      </c>
    </row>
    <row r="10" spans="1:11" ht="15.75" x14ac:dyDescent="0.25">
      <c r="A10" s="37" t="s">
        <v>278</v>
      </c>
      <c r="B10" s="16" t="s">
        <v>55</v>
      </c>
      <c r="C10" s="16" t="s">
        <v>57</v>
      </c>
      <c r="D10" s="16" t="s">
        <v>279</v>
      </c>
      <c r="E10" s="16" t="s">
        <v>86</v>
      </c>
      <c r="F10" s="16" t="s">
        <v>87</v>
      </c>
      <c r="G10" s="16">
        <v>300</v>
      </c>
      <c r="H10" s="16">
        <v>0</v>
      </c>
      <c r="I10" s="16">
        <v>0</v>
      </c>
      <c r="J10" s="16">
        <v>32</v>
      </c>
      <c r="K10">
        <f t="shared" si="0"/>
        <v>332</v>
      </c>
    </row>
    <row r="11" spans="1:11" ht="15.75" x14ac:dyDescent="0.25">
      <c r="A11" s="37" t="s">
        <v>170</v>
      </c>
      <c r="B11" s="16" t="s">
        <v>55</v>
      </c>
      <c r="C11" s="16" t="s">
        <v>56</v>
      </c>
      <c r="D11" s="16" t="s">
        <v>171</v>
      </c>
      <c r="E11" s="16" t="s">
        <v>86</v>
      </c>
      <c r="F11" s="16" t="s">
        <v>87</v>
      </c>
      <c r="G11" s="16">
        <v>8239</v>
      </c>
      <c r="H11" s="16">
        <v>0</v>
      </c>
      <c r="I11" s="16">
        <v>0</v>
      </c>
      <c r="J11" s="16">
        <v>0</v>
      </c>
      <c r="K11">
        <f t="shared" si="0"/>
        <v>8239</v>
      </c>
    </row>
    <row r="12" spans="1:11" ht="15.75" x14ac:dyDescent="0.25">
      <c r="A12" s="37" t="s">
        <v>280</v>
      </c>
      <c r="B12" s="16" t="s">
        <v>55</v>
      </c>
      <c r="C12" s="16" t="s">
        <v>56</v>
      </c>
      <c r="D12" s="16" t="s">
        <v>281</v>
      </c>
      <c r="E12" s="16" t="s">
        <v>86</v>
      </c>
      <c r="F12" s="16" t="s">
        <v>87</v>
      </c>
      <c r="G12" s="16">
        <v>422</v>
      </c>
      <c r="H12" s="16">
        <v>0</v>
      </c>
      <c r="I12" s="16">
        <v>0</v>
      </c>
      <c r="J12" s="16">
        <v>0</v>
      </c>
      <c r="K12">
        <f t="shared" si="0"/>
        <v>422</v>
      </c>
    </row>
    <row r="13" spans="1:11" ht="15.75" x14ac:dyDescent="0.25">
      <c r="A13" s="37" t="s">
        <v>197</v>
      </c>
      <c r="B13" s="16" t="s">
        <v>55</v>
      </c>
      <c r="C13" s="16" t="s">
        <v>56</v>
      </c>
      <c r="D13" s="16" t="s">
        <v>62</v>
      </c>
      <c r="E13" s="16" t="s">
        <v>86</v>
      </c>
      <c r="F13" s="16" t="s">
        <v>87</v>
      </c>
      <c r="G13" s="16">
        <v>8155</v>
      </c>
      <c r="H13" s="16">
        <v>0</v>
      </c>
      <c r="I13" s="16">
        <v>0</v>
      </c>
      <c r="J13" s="16">
        <v>0</v>
      </c>
      <c r="K13">
        <f t="shared" si="0"/>
        <v>8155</v>
      </c>
    </row>
    <row r="14" spans="1:11" ht="15.75" x14ac:dyDescent="0.25">
      <c r="A14" s="37" t="s">
        <v>91</v>
      </c>
      <c r="B14" s="16" t="s">
        <v>55</v>
      </c>
      <c r="C14" s="16" t="s">
        <v>56</v>
      </c>
      <c r="D14" s="16" t="s">
        <v>63</v>
      </c>
      <c r="E14" s="16" t="s">
        <v>86</v>
      </c>
      <c r="F14" s="16" t="s">
        <v>87</v>
      </c>
      <c r="G14" s="16">
        <v>0</v>
      </c>
      <c r="H14" s="16">
        <v>170600</v>
      </c>
      <c r="I14" s="16">
        <v>0</v>
      </c>
      <c r="J14" s="16">
        <v>0</v>
      </c>
      <c r="K14">
        <f t="shared" si="0"/>
        <v>170600</v>
      </c>
    </row>
    <row r="15" spans="1:11" ht="15.75" x14ac:dyDescent="0.25">
      <c r="A15" s="37" t="s">
        <v>282</v>
      </c>
      <c r="B15" s="16" t="s">
        <v>55</v>
      </c>
      <c r="C15" s="16" t="s">
        <v>56</v>
      </c>
      <c r="D15" s="16" t="s">
        <v>283</v>
      </c>
      <c r="E15" s="16" t="s">
        <v>86</v>
      </c>
      <c r="F15" s="16" t="s">
        <v>87</v>
      </c>
      <c r="G15" s="16">
        <v>5185</v>
      </c>
      <c r="H15" s="16">
        <v>0</v>
      </c>
      <c r="I15" s="16">
        <v>0</v>
      </c>
      <c r="J15" s="16">
        <v>0</v>
      </c>
      <c r="K15">
        <f t="shared" si="0"/>
        <v>5185</v>
      </c>
    </row>
    <row r="16" spans="1:11" ht="15.75" x14ac:dyDescent="0.25">
      <c r="A16" s="37" t="s">
        <v>92</v>
      </c>
      <c r="B16" s="16" t="s">
        <v>55</v>
      </c>
      <c r="C16" s="16" t="s">
        <v>56</v>
      </c>
      <c r="D16" s="16" t="s">
        <v>64</v>
      </c>
      <c r="E16" s="16" t="s">
        <v>86</v>
      </c>
      <c r="F16" s="16" t="s">
        <v>87</v>
      </c>
      <c r="G16" s="16">
        <v>0</v>
      </c>
      <c r="H16" s="16">
        <v>87324</v>
      </c>
      <c r="I16" s="16">
        <v>0</v>
      </c>
      <c r="J16" s="16">
        <v>0</v>
      </c>
      <c r="K16">
        <f t="shared" si="0"/>
        <v>87324</v>
      </c>
    </row>
    <row r="17" spans="1:11" ht="15.75" x14ac:dyDescent="0.25">
      <c r="A17" s="37" t="s">
        <v>179</v>
      </c>
      <c r="B17" s="16" t="s">
        <v>55</v>
      </c>
      <c r="C17" s="16" t="s">
        <v>57</v>
      </c>
      <c r="D17" s="16" t="s">
        <v>180</v>
      </c>
      <c r="E17" s="16" t="s">
        <v>86</v>
      </c>
      <c r="F17" s="16" t="s">
        <v>87</v>
      </c>
      <c r="G17" s="16">
        <v>0</v>
      </c>
      <c r="H17" s="16">
        <v>0</v>
      </c>
      <c r="I17" s="16">
        <v>1432</v>
      </c>
      <c r="J17" s="16">
        <v>0</v>
      </c>
      <c r="K17">
        <f t="shared" si="0"/>
        <v>1432</v>
      </c>
    </row>
    <row r="18" spans="1:11" ht="15.75" x14ac:dyDescent="0.25">
      <c r="A18" s="37" t="s">
        <v>262</v>
      </c>
      <c r="B18" s="16" t="s">
        <v>55</v>
      </c>
      <c r="C18" s="16" t="s">
        <v>56</v>
      </c>
      <c r="D18" s="16" t="s">
        <v>263</v>
      </c>
      <c r="E18" s="16" t="s">
        <v>86</v>
      </c>
      <c r="F18" s="16" t="s">
        <v>87</v>
      </c>
      <c r="G18" s="16">
        <v>4200</v>
      </c>
      <c r="H18" s="16">
        <v>0</v>
      </c>
      <c r="I18" s="16">
        <v>0</v>
      </c>
      <c r="J18" s="16">
        <v>0</v>
      </c>
      <c r="K18">
        <f t="shared" si="0"/>
        <v>4200</v>
      </c>
    </row>
    <row r="19" spans="1:11" ht="15.75" x14ac:dyDescent="0.25">
      <c r="A19" s="37" t="s">
        <v>94</v>
      </c>
      <c r="B19" s="16" t="s">
        <v>55</v>
      </c>
      <c r="C19" s="16" t="s">
        <v>56</v>
      </c>
      <c r="D19" s="16" t="s">
        <v>68</v>
      </c>
      <c r="E19" s="16" t="s">
        <v>86</v>
      </c>
      <c r="F19" s="16" t="s">
        <v>87</v>
      </c>
      <c r="G19" s="16">
        <v>34880</v>
      </c>
      <c r="H19" s="16">
        <v>0</v>
      </c>
      <c r="I19" s="16">
        <v>0</v>
      </c>
      <c r="J19" s="16">
        <v>0</v>
      </c>
      <c r="K19">
        <f t="shared" si="0"/>
        <v>34880</v>
      </c>
    </row>
    <row r="20" spans="1:11" ht="15.75" x14ac:dyDescent="0.25">
      <c r="A20" s="37" t="s">
        <v>95</v>
      </c>
      <c r="B20" s="16" t="s">
        <v>55</v>
      </c>
      <c r="C20" s="16" t="s">
        <v>57</v>
      </c>
      <c r="D20" s="16" t="s">
        <v>69</v>
      </c>
      <c r="E20" s="16" t="s">
        <v>86</v>
      </c>
      <c r="F20" s="16" t="s">
        <v>87</v>
      </c>
      <c r="G20" s="16">
        <v>0</v>
      </c>
      <c r="H20" s="16">
        <v>0</v>
      </c>
      <c r="I20" s="16">
        <v>12159</v>
      </c>
      <c r="J20" s="16">
        <v>0</v>
      </c>
      <c r="K20">
        <f t="shared" si="0"/>
        <v>12159</v>
      </c>
    </row>
    <row r="21" spans="1:11" ht="15.75" x14ac:dyDescent="0.25">
      <c r="A21" s="37" t="s">
        <v>96</v>
      </c>
      <c r="B21" s="16" t="s">
        <v>55</v>
      </c>
      <c r="C21" s="16" t="s">
        <v>56</v>
      </c>
      <c r="D21" s="16" t="s">
        <v>70</v>
      </c>
      <c r="E21" s="16" t="s">
        <v>86</v>
      </c>
      <c r="F21" s="16" t="s">
        <v>87</v>
      </c>
      <c r="G21" s="16">
        <v>191</v>
      </c>
      <c r="H21" s="16">
        <v>0</v>
      </c>
      <c r="I21" s="16">
        <v>0</v>
      </c>
      <c r="J21" s="16">
        <v>0</v>
      </c>
      <c r="K21">
        <f t="shared" si="0"/>
        <v>191</v>
      </c>
    </row>
    <row r="22" spans="1:11" ht="15.75" x14ac:dyDescent="0.25">
      <c r="A22" s="37" t="s">
        <v>284</v>
      </c>
      <c r="B22" s="16" t="s">
        <v>55</v>
      </c>
      <c r="C22" s="16" t="s">
        <v>56</v>
      </c>
      <c r="D22" s="16" t="s">
        <v>285</v>
      </c>
      <c r="E22" s="16" t="s">
        <v>86</v>
      </c>
      <c r="F22" s="16" t="s">
        <v>87</v>
      </c>
      <c r="G22" s="16">
        <v>349</v>
      </c>
      <c r="H22" s="16">
        <v>0</v>
      </c>
      <c r="I22" s="16">
        <v>0</v>
      </c>
      <c r="J22" s="16">
        <v>0</v>
      </c>
      <c r="K22">
        <f t="shared" si="0"/>
        <v>349</v>
      </c>
    </row>
    <row r="23" spans="1:11" ht="15.75" x14ac:dyDescent="0.25">
      <c r="A23" s="37" t="s">
        <v>97</v>
      </c>
      <c r="B23" s="16" t="s">
        <v>55</v>
      </c>
      <c r="C23" s="16" t="s">
        <v>56</v>
      </c>
      <c r="D23" s="16" t="s">
        <v>71</v>
      </c>
      <c r="E23" s="16" t="s">
        <v>86</v>
      </c>
      <c r="F23" s="16" t="s">
        <v>87</v>
      </c>
      <c r="G23" s="16">
        <v>720</v>
      </c>
      <c r="H23" s="16">
        <v>0</v>
      </c>
      <c r="I23" s="16">
        <v>0</v>
      </c>
      <c r="J23" s="16">
        <v>0</v>
      </c>
      <c r="K23">
        <f t="shared" si="0"/>
        <v>720</v>
      </c>
    </row>
    <row r="24" spans="1:11" ht="15.75" x14ac:dyDescent="0.25">
      <c r="A24" s="37" t="s">
        <v>98</v>
      </c>
      <c r="B24" s="16" t="s">
        <v>55</v>
      </c>
      <c r="C24" s="16" t="s">
        <v>57</v>
      </c>
      <c r="D24" s="16" t="s">
        <v>72</v>
      </c>
      <c r="E24" s="16" t="s">
        <v>86</v>
      </c>
      <c r="F24" s="16" t="s">
        <v>87</v>
      </c>
      <c r="G24" s="16">
        <v>1800</v>
      </c>
      <c r="H24" s="16">
        <v>0</v>
      </c>
      <c r="I24" s="16">
        <v>0</v>
      </c>
      <c r="J24" s="16">
        <v>192</v>
      </c>
      <c r="K24">
        <f t="shared" si="0"/>
        <v>1992</v>
      </c>
    </row>
    <row r="25" spans="1:11" ht="15.75" x14ac:dyDescent="0.25">
      <c r="A25" s="37" t="s">
        <v>99</v>
      </c>
      <c r="B25" s="16" t="s">
        <v>55</v>
      </c>
      <c r="C25" s="16" t="s">
        <v>58</v>
      </c>
      <c r="D25" s="16" t="s">
        <v>73</v>
      </c>
      <c r="E25" s="16" t="s">
        <v>86</v>
      </c>
      <c r="F25" s="16" t="s">
        <v>87</v>
      </c>
      <c r="G25" s="16">
        <v>82000</v>
      </c>
      <c r="H25" s="16">
        <v>0</v>
      </c>
      <c r="I25" s="16">
        <v>0</v>
      </c>
      <c r="J25" s="16">
        <v>8749</v>
      </c>
      <c r="K25">
        <f t="shared" si="0"/>
        <v>90749</v>
      </c>
    </row>
    <row r="26" spans="1:11" ht="15.75" x14ac:dyDescent="0.25">
      <c r="A26" s="37" t="s">
        <v>252</v>
      </c>
      <c r="B26" s="16" t="s">
        <v>55</v>
      </c>
      <c r="C26" s="16" t="s">
        <v>56</v>
      </c>
      <c r="D26" s="16" t="s">
        <v>253</v>
      </c>
      <c r="E26" s="16" t="s">
        <v>86</v>
      </c>
      <c r="F26" s="16" t="s">
        <v>87</v>
      </c>
      <c r="G26" s="16">
        <v>1558</v>
      </c>
      <c r="H26" s="16">
        <v>0</v>
      </c>
      <c r="I26" s="16">
        <v>0</v>
      </c>
      <c r="J26" s="16">
        <v>0</v>
      </c>
      <c r="K26">
        <f t="shared" si="0"/>
        <v>1558</v>
      </c>
    </row>
    <row r="27" spans="1:11" ht="15.75" x14ac:dyDescent="0.25">
      <c r="A27" s="37" t="s">
        <v>101</v>
      </c>
      <c r="B27" s="16" t="s">
        <v>55</v>
      </c>
      <c r="C27" s="16" t="s">
        <v>56</v>
      </c>
      <c r="D27" s="16" t="s">
        <v>75</v>
      </c>
      <c r="E27" s="16" t="s">
        <v>86</v>
      </c>
      <c r="F27" s="16" t="s">
        <v>87</v>
      </c>
      <c r="G27" s="16">
        <v>1107</v>
      </c>
      <c r="H27" s="16">
        <v>0</v>
      </c>
      <c r="I27" s="16">
        <v>7852</v>
      </c>
      <c r="J27" s="16">
        <v>0</v>
      </c>
      <c r="K27">
        <f t="shared" si="0"/>
        <v>8959</v>
      </c>
    </row>
    <row r="28" spans="1:11" ht="15.75" x14ac:dyDescent="0.25">
      <c r="A28" s="37" t="s">
        <v>134</v>
      </c>
      <c r="B28" s="16" t="s">
        <v>55</v>
      </c>
      <c r="C28" s="16" t="s">
        <v>56</v>
      </c>
      <c r="D28" s="16" t="s">
        <v>135</v>
      </c>
      <c r="E28" s="16" t="s">
        <v>86</v>
      </c>
      <c r="F28" s="16" t="s">
        <v>87</v>
      </c>
      <c r="G28" s="16">
        <v>8700</v>
      </c>
      <c r="H28" s="16">
        <v>0</v>
      </c>
      <c r="I28" s="16">
        <v>0</v>
      </c>
      <c r="J28" s="16">
        <v>0</v>
      </c>
      <c r="K28">
        <f t="shared" si="0"/>
        <v>8700</v>
      </c>
    </row>
    <row r="29" spans="1:11" ht="15.75" x14ac:dyDescent="0.25">
      <c r="A29" s="37" t="s">
        <v>286</v>
      </c>
      <c r="B29" s="16" t="s">
        <v>55</v>
      </c>
      <c r="C29" s="16" t="s">
        <v>57</v>
      </c>
      <c r="D29" s="16" t="s">
        <v>287</v>
      </c>
      <c r="E29" s="16" t="s">
        <v>86</v>
      </c>
      <c r="F29" s="16" t="s">
        <v>87</v>
      </c>
      <c r="G29" s="16">
        <v>0</v>
      </c>
      <c r="H29" s="16">
        <v>0</v>
      </c>
      <c r="I29" s="16">
        <v>1254</v>
      </c>
      <c r="J29" s="16">
        <v>0</v>
      </c>
      <c r="K29">
        <f t="shared" si="0"/>
        <v>1254</v>
      </c>
    </row>
    <row r="30" spans="1:11" ht="15.75" x14ac:dyDescent="0.25">
      <c r="A30" s="37" t="s">
        <v>140</v>
      </c>
      <c r="B30" s="16" t="s">
        <v>55</v>
      </c>
      <c r="C30" s="16" t="s">
        <v>56</v>
      </c>
      <c r="D30" s="16" t="s">
        <v>141</v>
      </c>
      <c r="E30" s="16" t="s">
        <v>86</v>
      </c>
      <c r="F30" s="16" t="s">
        <v>87</v>
      </c>
      <c r="G30" s="16">
        <v>28000</v>
      </c>
      <c r="H30" s="16">
        <v>0</v>
      </c>
      <c r="I30" s="16">
        <v>0</v>
      </c>
      <c r="J30" s="16">
        <v>0</v>
      </c>
      <c r="K30">
        <f t="shared" si="0"/>
        <v>28000</v>
      </c>
    </row>
    <row r="31" spans="1:11" ht="15.75" x14ac:dyDescent="0.25">
      <c r="A31" s="37" t="s">
        <v>181</v>
      </c>
      <c r="B31" s="16" t="s">
        <v>55</v>
      </c>
      <c r="C31" s="16" t="s">
        <v>56</v>
      </c>
      <c r="D31" s="16" t="s">
        <v>182</v>
      </c>
      <c r="E31" s="16" t="s">
        <v>86</v>
      </c>
      <c r="F31" s="16" t="s">
        <v>87</v>
      </c>
      <c r="G31" s="16">
        <v>1012</v>
      </c>
      <c r="H31" s="16">
        <v>0</v>
      </c>
      <c r="I31" s="16">
        <v>0</v>
      </c>
      <c r="J31" s="16">
        <v>0</v>
      </c>
      <c r="K31">
        <f t="shared" si="0"/>
        <v>1012</v>
      </c>
    </row>
    <row r="32" spans="1:11" ht="15.75" x14ac:dyDescent="0.25">
      <c r="A32" s="37" t="s">
        <v>102</v>
      </c>
      <c r="B32" s="16" t="s">
        <v>55</v>
      </c>
      <c r="C32" s="16" t="s">
        <v>56</v>
      </c>
      <c r="D32" s="16" t="s">
        <v>76</v>
      </c>
      <c r="E32" s="16" t="s">
        <v>86</v>
      </c>
      <c r="F32" s="16" t="s">
        <v>87</v>
      </c>
      <c r="G32" s="16">
        <v>2808</v>
      </c>
      <c r="H32" s="16">
        <v>2482</v>
      </c>
      <c r="I32" s="16">
        <v>0</v>
      </c>
      <c r="J32" s="16">
        <v>0</v>
      </c>
      <c r="K32">
        <f t="shared" si="0"/>
        <v>5290</v>
      </c>
    </row>
    <row r="33" spans="1:11" ht="15.75" x14ac:dyDescent="0.25">
      <c r="A33" s="37" t="s">
        <v>103</v>
      </c>
      <c r="B33" s="16" t="s">
        <v>55</v>
      </c>
      <c r="C33" s="16" t="s">
        <v>56</v>
      </c>
      <c r="D33" s="16" t="s">
        <v>77</v>
      </c>
      <c r="E33" s="16" t="s">
        <v>86</v>
      </c>
      <c r="F33" s="16" t="s">
        <v>87</v>
      </c>
      <c r="G33" s="16">
        <v>3053</v>
      </c>
      <c r="H33" s="16">
        <v>0</v>
      </c>
      <c r="I33" s="16">
        <v>0</v>
      </c>
      <c r="J33" s="16">
        <v>0</v>
      </c>
      <c r="K33">
        <f t="shared" si="0"/>
        <v>3053</v>
      </c>
    </row>
    <row r="34" spans="1:11" ht="15.75" x14ac:dyDescent="0.25">
      <c r="A34" s="37" t="s">
        <v>325</v>
      </c>
      <c r="B34" s="16" t="s">
        <v>55</v>
      </c>
      <c r="C34" s="16" t="s">
        <v>57</v>
      </c>
      <c r="D34" s="16" t="s">
        <v>176</v>
      </c>
      <c r="E34" s="16" t="s">
        <v>86</v>
      </c>
      <c r="F34" s="16" t="s">
        <v>87</v>
      </c>
      <c r="G34" s="16">
        <v>0</v>
      </c>
      <c r="H34" s="16">
        <v>0</v>
      </c>
      <c r="I34" s="16">
        <v>10637</v>
      </c>
      <c r="J34" s="16">
        <v>0</v>
      </c>
      <c r="K34">
        <f t="shared" si="0"/>
        <v>10637</v>
      </c>
    </row>
    <row r="35" spans="1:11" ht="15.75" x14ac:dyDescent="0.25">
      <c r="A35" s="37" t="s">
        <v>254</v>
      </c>
      <c r="B35" s="16" t="s">
        <v>55</v>
      </c>
      <c r="C35" s="16" t="s">
        <v>57</v>
      </c>
      <c r="D35" s="16" t="s">
        <v>255</v>
      </c>
      <c r="E35" s="16" t="s">
        <v>86</v>
      </c>
      <c r="F35" s="16" t="s">
        <v>87</v>
      </c>
      <c r="G35" s="16">
        <v>15874</v>
      </c>
      <c r="H35" s="16">
        <v>0</v>
      </c>
      <c r="I35" s="16">
        <v>0</v>
      </c>
      <c r="J35" s="16">
        <v>1694</v>
      </c>
      <c r="K35">
        <f t="shared" si="0"/>
        <v>17568</v>
      </c>
    </row>
    <row r="36" spans="1:11" ht="15.75" x14ac:dyDescent="0.25">
      <c r="A36" s="37" t="s">
        <v>104</v>
      </c>
      <c r="B36" s="16" t="s">
        <v>55</v>
      </c>
      <c r="C36" s="16" t="s">
        <v>56</v>
      </c>
      <c r="D36" s="16" t="s">
        <v>79</v>
      </c>
      <c r="E36" s="16" t="s">
        <v>86</v>
      </c>
      <c r="F36" s="16" t="s">
        <v>87</v>
      </c>
      <c r="G36" s="16">
        <v>0</v>
      </c>
      <c r="H36" s="16">
        <v>0</v>
      </c>
      <c r="I36" s="16">
        <v>2510</v>
      </c>
      <c r="J36" s="16">
        <v>0</v>
      </c>
      <c r="K36">
        <f t="shared" si="0"/>
        <v>2510</v>
      </c>
    </row>
    <row r="37" spans="1:11" ht="15.75" x14ac:dyDescent="0.25">
      <c r="A37" s="37" t="s">
        <v>168</v>
      </c>
      <c r="B37" s="16" t="s">
        <v>55</v>
      </c>
      <c r="C37" s="16" t="s">
        <v>56</v>
      </c>
      <c r="D37" s="16" t="s">
        <v>165</v>
      </c>
      <c r="E37" s="16" t="s">
        <v>86</v>
      </c>
      <c r="F37" s="16" t="s">
        <v>87</v>
      </c>
      <c r="G37" s="16">
        <v>0</v>
      </c>
      <c r="H37" s="16">
        <v>65255</v>
      </c>
      <c r="I37" s="16">
        <v>0</v>
      </c>
      <c r="J37" s="16">
        <v>0</v>
      </c>
      <c r="K37">
        <f t="shared" si="0"/>
        <v>65255</v>
      </c>
    </row>
    <row r="38" spans="1:11" ht="15.75" x14ac:dyDescent="0.25">
      <c r="A38" s="37" t="s">
        <v>153</v>
      </c>
      <c r="B38" s="16" t="s">
        <v>55</v>
      </c>
      <c r="C38" s="16" t="s">
        <v>56</v>
      </c>
      <c r="D38" s="16" t="s">
        <v>154</v>
      </c>
      <c r="E38" s="16" t="s">
        <v>86</v>
      </c>
      <c r="F38" s="16" t="s">
        <v>87</v>
      </c>
      <c r="G38" s="16">
        <v>2000</v>
      </c>
      <c r="H38" s="16">
        <v>0</v>
      </c>
      <c r="I38" s="16">
        <v>0</v>
      </c>
      <c r="J38" s="16">
        <v>0</v>
      </c>
      <c r="K38">
        <f t="shared" si="0"/>
        <v>2000</v>
      </c>
    </row>
    <row r="39" spans="1:11" ht="15.75" x14ac:dyDescent="0.25">
      <c r="A39" s="37" t="s">
        <v>288</v>
      </c>
      <c r="B39" s="16" t="s">
        <v>55</v>
      </c>
      <c r="C39" s="16" t="s">
        <v>56</v>
      </c>
      <c r="D39" s="16" t="s">
        <v>289</v>
      </c>
      <c r="E39" s="16" t="s">
        <v>86</v>
      </c>
      <c r="F39" s="16" t="s">
        <v>87</v>
      </c>
      <c r="G39" s="16">
        <v>1784</v>
      </c>
      <c r="H39" s="16">
        <v>0</v>
      </c>
      <c r="I39" s="16">
        <v>0</v>
      </c>
      <c r="J39" s="16">
        <v>0</v>
      </c>
      <c r="K39">
        <f t="shared" si="0"/>
        <v>1784</v>
      </c>
    </row>
    <row r="40" spans="1:11" ht="15.75" x14ac:dyDescent="0.25">
      <c r="A40" s="37" t="s">
        <v>290</v>
      </c>
      <c r="B40" s="16" t="s">
        <v>55</v>
      </c>
      <c r="C40" s="16" t="s">
        <v>56</v>
      </c>
      <c r="D40" s="16" t="s">
        <v>291</v>
      </c>
      <c r="E40" s="16" t="s">
        <v>86</v>
      </c>
      <c r="F40" s="16" t="s">
        <v>87</v>
      </c>
      <c r="G40" s="16">
        <v>1569</v>
      </c>
      <c r="H40" s="16">
        <v>0</v>
      </c>
      <c r="I40" s="16">
        <v>0</v>
      </c>
      <c r="J40" s="16">
        <v>0</v>
      </c>
      <c r="K40">
        <f t="shared" si="0"/>
        <v>1569</v>
      </c>
    </row>
    <row r="41" spans="1:11" ht="15.75" x14ac:dyDescent="0.25">
      <c r="A41" s="37" t="s">
        <v>326</v>
      </c>
      <c r="B41" s="16" t="s">
        <v>55</v>
      </c>
      <c r="C41" s="16" t="s">
        <v>56</v>
      </c>
      <c r="D41" s="16" t="s">
        <v>327</v>
      </c>
      <c r="E41" s="16" t="s">
        <v>86</v>
      </c>
      <c r="F41" s="16" t="s">
        <v>87</v>
      </c>
      <c r="G41" s="16">
        <v>1410</v>
      </c>
      <c r="H41" s="16">
        <v>0</v>
      </c>
      <c r="I41" s="16">
        <v>0</v>
      </c>
      <c r="J41" s="16">
        <v>0</v>
      </c>
      <c r="K41">
        <f t="shared" si="0"/>
        <v>1410</v>
      </c>
    </row>
    <row r="42" spans="1:11" ht="15.75" x14ac:dyDescent="0.25">
      <c r="A42" s="37" t="s">
        <v>292</v>
      </c>
      <c r="B42" s="16" t="s">
        <v>55</v>
      </c>
      <c r="C42" s="16" t="s">
        <v>56</v>
      </c>
      <c r="D42" s="16" t="s">
        <v>293</v>
      </c>
      <c r="E42" s="16" t="s">
        <v>86</v>
      </c>
      <c r="F42" s="16" t="s">
        <v>87</v>
      </c>
      <c r="G42" s="16">
        <v>2595</v>
      </c>
      <c r="H42" s="16">
        <v>0</v>
      </c>
      <c r="I42" s="16">
        <v>0</v>
      </c>
      <c r="J42" s="16">
        <v>0</v>
      </c>
      <c r="K42">
        <f t="shared" si="0"/>
        <v>2595</v>
      </c>
    </row>
    <row r="44" spans="1:11" x14ac:dyDescent="0.25">
      <c r="G44">
        <f>SUM(G2:G43)</f>
        <v>289898</v>
      </c>
      <c r="H44">
        <f>SUM(H2:H43)</f>
        <v>333946</v>
      </c>
      <c r="I44">
        <f>SUM(I2:I43)</f>
        <v>37844</v>
      </c>
      <c r="J44">
        <f>SUM(J2:J43)</f>
        <v>10667</v>
      </c>
      <c r="K44">
        <f>SUM(K2:K43)</f>
        <v>672355</v>
      </c>
    </row>
  </sheetData>
  <autoFilter ref="A1:J42" xr:uid="{00000000-0001-0000-00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7484-D234-4342-B263-05319F7CF83F}">
  <dimension ref="A1:K264"/>
  <sheetViews>
    <sheetView topLeftCell="A111" workbookViewId="0">
      <selection activeCell="H139" sqref="H139"/>
    </sheetView>
  </sheetViews>
  <sheetFormatPr baseColWidth="10" defaultRowHeight="15" x14ac:dyDescent="0.25"/>
  <cols>
    <col min="1" max="1" width="65.140625" bestFit="1" customWidth="1"/>
    <col min="2" max="2" width="12.28515625" customWidth="1"/>
    <col min="3" max="3" width="21.42578125" bestFit="1" customWidth="1"/>
    <col min="4" max="4" width="19.85546875" bestFit="1" customWidth="1"/>
    <col min="5" max="5" width="7.42578125" bestFit="1" customWidth="1"/>
    <col min="6" max="6" width="15.5703125" bestFit="1" customWidth="1"/>
    <col min="7" max="7" width="16.42578125" style="13" bestFit="1" customWidth="1"/>
    <col min="8" max="8" width="18.28515625" style="13" customWidth="1"/>
    <col min="9" max="9" width="16" style="13" bestFit="1" customWidth="1"/>
    <col min="10" max="10" width="13.42578125" style="13" bestFit="1" customWidth="1"/>
    <col min="11" max="11" width="11.5703125" bestFit="1" customWidth="1"/>
  </cols>
  <sheetData>
    <row r="1" spans="1:11" ht="15.75" thickBot="1" x14ac:dyDescent="0.3">
      <c r="A1" s="14"/>
      <c r="B1" s="14" t="s">
        <v>0</v>
      </c>
      <c r="C1" s="14" t="s">
        <v>1</v>
      </c>
      <c r="D1" s="14" t="s">
        <v>2</v>
      </c>
      <c r="E1" s="14" t="s">
        <v>80</v>
      </c>
      <c r="F1" s="14" t="s">
        <v>81</v>
      </c>
      <c r="G1" s="25" t="s">
        <v>82</v>
      </c>
      <c r="H1" s="25" t="s">
        <v>83</v>
      </c>
      <c r="I1" s="25" t="s">
        <v>84</v>
      </c>
      <c r="J1" s="25" t="s">
        <v>85</v>
      </c>
      <c r="K1" s="14"/>
    </row>
    <row r="2" spans="1:11" ht="15.75" x14ac:dyDescent="0.25">
      <c r="A2" s="15" t="s">
        <v>256</v>
      </c>
      <c r="B2" s="16" t="s">
        <v>55</v>
      </c>
      <c r="C2" s="16" t="s">
        <v>56</v>
      </c>
      <c r="D2" s="16" t="s">
        <v>257</v>
      </c>
      <c r="E2" s="16" t="s">
        <v>86</v>
      </c>
      <c r="F2" s="16" t="s">
        <v>87</v>
      </c>
      <c r="G2" s="26">
        <v>1277</v>
      </c>
      <c r="H2" s="26">
        <v>731</v>
      </c>
      <c r="I2" s="26">
        <v>0</v>
      </c>
      <c r="J2" s="26">
        <v>0</v>
      </c>
      <c r="K2" s="26"/>
    </row>
    <row r="3" spans="1:11" ht="15.75" x14ac:dyDescent="0.25">
      <c r="A3" s="15" t="s">
        <v>294</v>
      </c>
      <c r="B3" s="16" t="s">
        <v>55</v>
      </c>
      <c r="C3" s="16" t="s">
        <v>56</v>
      </c>
      <c r="D3" s="16" t="s">
        <v>295</v>
      </c>
      <c r="E3" s="16" t="s">
        <v>86</v>
      </c>
      <c r="F3" s="16" t="s">
        <v>87</v>
      </c>
      <c r="G3" s="26">
        <v>5876</v>
      </c>
      <c r="H3" s="26">
        <v>0</v>
      </c>
      <c r="I3" s="26">
        <v>0</v>
      </c>
      <c r="J3" s="26">
        <v>0</v>
      </c>
      <c r="K3" s="26"/>
    </row>
    <row r="4" spans="1:11" ht="15.75" x14ac:dyDescent="0.25">
      <c r="A4" s="15" t="s">
        <v>183</v>
      </c>
      <c r="B4" s="16" t="s">
        <v>55</v>
      </c>
      <c r="C4" s="16" t="s">
        <v>57</v>
      </c>
      <c r="D4" s="16" t="s">
        <v>105</v>
      </c>
      <c r="E4" s="16" t="s">
        <v>86</v>
      </c>
      <c r="F4" s="16" t="s">
        <v>87</v>
      </c>
      <c r="G4" s="26">
        <v>14400</v>
      </c>
      <c r="H4" s="26">
        <v>0</v>
      </c>
      <c r="I4" s="26">
        <v>0</v>
      </c>
      <c r="J4" s="26">
        <v>1536</v>
      </c>
      <c r="K4" s="26"/>
    </row>
    <row r="5" spans="1:11" ht="15.75" x14ac:dyDescent="0.25">
      <c r="A5" s="15" t="s">
        <v>184</v>
      </c>
      <c r="B5" s="16" t="s">
        <v>55</v>
      </c>
      <c r="C5" s="16" t="s">
        <v>56</v>
      </c>
      <c r="D5" s="16" t="s">
        <v>106</v>
      </c>
      <c r="E5" s="16" t="s">
        <v>86</v>
      </c>
      <c r="F5" s="16" t="s">
        <v>87</v>
      </c>
      <c r="G5" s="26">
        <v>33463</v>
      </c>
      <c r="H5" s="26">
        <v>0</v>
      </c>
      <c r="I5" s="26">
        <v>0</v>
      </c>
      <c r="J5" s="26">
        <v>0</v>
      </c>
      <c r="K5" s="26"/>
    </row>
    <row r="6" spans="1:11" ht="15.75" x14ac:dyDescent="0.25">
      <c r="A6" s="15" t="s">
        <v>258</v>
      </c>
      <c r="B6" s="16" t="s">
        <v>55</v>
      </c>
      <c r="C6" s="16" t="s">
        <v>56</v>
      </c>
      <c r="D6" s="16" t="s">
        <v>259</v>
      </c>
      <c r="E6" s="16" t="s">
        <v>86</v>
      </c>
      <c r="F6" s="16" t="s">
        <v>87</v>
      </c>
      <c r="G6" s="26">
        <v>0</v>
      </c>
      <c r="H6" s="26">
        <v>0</v>
      </c>
      <c r="I6" s="26">
        <v>0</v>
      </c>
      <c r="J6" s="26">
        <v>0</v>
      </c>
      <c r="K6" s="26"/>
    </row>
    <row r="7" spans="1:11" ht="15.75" x14ac:dyDescent="0.25">
      <c r="A7" s="15" t="s">
        <v>328</v>
      </c>
      <c r="B7" s="16" t="s">
        <v>55</v>
      </c>
      <c r="C7" s="16" t="s">
        <v>56</v>
      </c>
      <c r="D7" s="16" t="s">
        <v>329</v>
      </c>
      <c r="E7" s="16" t="s">
        <v>86</v>
      </c>
      <c r="F7" s="16" t="s">
        <v>87</v>
      </c>
      <c r="G7" s="26">
        <v>1054</v>
      </c>
      <c r="H7" s="26">
        <v>0</v>
      </c>
      <c r="I7" s="26">
        <v>0</v>
      </c>
      <c r="J7" s="26">
        <v>0</v>
      </c>
      <c r="K7" s="26"/>
    </row>
    <row r="8" spans="1:11" ht="15.75" x14ac:dyDescent="0.25">
      <c r="A8" s="15" t="s">
        <v>185</v>
      </c>
      <c r="B8" s="16" t="s">
        <v>55</v>
      </c>
      <c r="C8" s="16" t="s">
        <v>58</v>
      </c>
      <c r="D8" s="16" t="s">
        <v>175</v>
      </c>
      <c r="E8" s="16" t="s">
        <v>86</v>
      </c>
      <c r="F8" s="16" t="s">
        <v>87</v>
      </c>
      <c r="G8" s="26">
        <v>0</v>
      </c>
      <c r="H8" s="26">
        <v>0</v>
      </c>
      <c r="I8" s="26">
        <v>0</v>
      </c>
      <c r="J8" s="26">
        <v>3342</v>
      </c>
      <c r="K8" s="26"/>
    </row>
    <row r="9" spans="1:11" ht="15.75" x14ac:dyDescent="0.25">
      <c r="A9" s="15" t="s">
        <v>274</v>
      </c>
      <c r="B9" s="16" t="s">
        <v>55</v>
      </c>
      <c r="C9" s="16" t="s">
        <v>56</v>
      </c>
      <c r="D9" s="16" t="s">
        <v>275</v>
      </c>
      <c r="E9" s="16" t="s">
        <v>86</v>
      </c>
      <c r="F9" s="16" t="s">
        <v>87</v>
      </c>
      <c r="G9" s="26">
        <v>0</v>
      </c>
      <c r="H9" s="26">
        <v>24634</v>
      </c>
      <c r="I9" s="26">
        <v>0</v>
      </c>
      <c r="J9" s="26">
        <v>0</v>
      </c>
      <c r="K9" s="26"/>
    </row>
    <row r="10" spans="1:11" ht="15.75" x14ac:dyDescent="0.25">
      <c r="A10" s="15" t="s">
        <v>296</v>
      </c>
      <c r="B10" s="16" t="s">
        <v>55</v>
      </c>
      <c r="C10" s="16" t="s">
        <v>57</v>
      </c>
      <c r="D10" s="16" t="s">
        <v>297</v>
      </c>
      <c r="E10" s="16" t="s">
        <v>86</v>
      </c>
      <c r="F10" s="16" t="s">
        <v>87</v>
      </c>
      <c r="G10" s="26">
        <v>0</v>
      </c>
      <c r="H10" s="26">
        <v>0</v>
      </c>
      <c r="I10" s="26">
        <v>762</v>
      </c>
      <c r="J10" s="26">
        <v>0</v>
      </c>
      <c r="K10" s="26"/>
    </row>
    <row r="11" spans="1:11" ht="15.75" x14ac:dyDescent="0.25">
      <c r="A11" s="15" t="s">
        <v>330</v>
      </c>
      <c r="B11" s="16" t="s">
        <v>55</v>
      </c>
      <c r="C11" s="16" t="s">
        <v>56</v>
      </c>
      <c r="D11" s="16" t="s">
        <v>331</v>
      </c>
      <c r="E11" s="16" t="s">
        <v>86</v>
      </c>
      <c r="F11" s="16" t="s">
        <v>87</v>
      </c>
      <c r="G11" s="26">
        <v>2504</v>
      </c>
      <c r="H11" s="26">
        <v>0</v>
      </c>
      <c r="I11" s="26">
        <v>0</v>
      </c>
      <c r="J11" s="26">
        <v>0</v>
      </c>
      <c r="K11" s="26"/>
    </row>
    <row r="12" spans="1:11" ht="15.75" x14ac:dyDescent="0.25">
      <c r="A12" s="15" t="s">
        <v>298</v>
      </c>
      <c r="B12" s="16" t="s">
        <v>55</v>
      </c>
      <c r="C12" s="16" t="s">
        <v>57</v>
      </c>
      <c r="D12" s="16" t="s">
        <v>299</v>
      </c>
      <c r="E12" s="16" t="s">
        <v>86</v>
      </c>
      <c r="F12" s="16" t="s">
        <v>87</v>
      </c>
      <c r="G12" s="26">
        <v>0</v>
      </c>
      <c r="H12" s="26">
        <v>0</v>
      </c>
      <c r="I12" s="26">
        <v>280000</v>
      </c>
      <c r="J12" s="26">
        <v>0</v>
      </c>
      <c r="K12" s="26"/>
    </row>
    <row r="13" spans="1:11" ht="15.75" x14ac:dyDescent="0.25">
      <c r="A13" s="15" t="s">
        <v>332</v>
      </c>
      <c r="B13" s="16" t="s">
        <v>55</v>
      </c>
      <c r="C13" s="16" t="s">
        <v>56</v>
      </c>
      <c r="D13" s="16" t="s">
        <v>333</v>
      </c>
      <c r="E13" s="16" t="s">
        <v>86</v>
      </c>
      <c r="F13" s="16" t="s">
        <v>87</v>
      </c>
      <c r="G13" s="26">
        <v>8970</v>
      </c>
      <c r="H13" s="26">
        <v>0</v>
      </c>
      <c r="I13" s="26">
        <v>0</v>
      </c>
      <c r="J13" s="26">
        <v>0</v>
      </c>
      <c r="K13" s="26"/>
    </row>
    <row r="14" spans="1:11" ht="15.75" x14ac:dyDescent="0.25">
      <c r="A14" s="15" t="s">
        <v>186</v>
      </c>
      <c r="B14" s="16" t="s">
        <v>55</v>
      </c>
      <c r="C14" s="16" t="s">
        <v>56</v>
      </c>
      <c r="D14" s="16" t="s">
        <v>169</v>
      </c>
      <c r="E14" s="16" t="s">
        <v>86</v>
      </c>
      <c r="F14" s="16" t="s">
        <v>87</v>
      </c>
      <c r="G14" s="26">
        <v>14850</v>
      </c>
      <c r="H14" s="26">
        <v>0</v>
      </c>
      <c r="I14" s="26">
        <v>0</v>
      </c>
      <c r="J14" s="26">
        <v>0</v>
      </c>
      <c r="K14" s="26"/>
    </row>
    <row r="15" spans="1:11" ht="15.75" x14ac:dyDescent="0.25">
      <c r="A15" s="15" t="s">
        <v>187</v>
      </c>
      <c r="B15" s="16" t="s">
        <v>55</v>
      </c>
      <c r="C15" s="16" t="s">
        <v>56</v>
      </c>
      <c r="D15" s="16" t="s">
        <v>107</v>
      </c>
      <c r="E15" s="16" t="s">
        <v>86</v>
      </c>
      <c r="F15" s="16" t="s">
        <v>87</v>
      </c>
      <c r="G15" s="26">
        <v>55541</v>
      </c>
      <c r="H15" s="26">
        <v>0</v>
      </c>
      <c r="I15" s="26">
        <v>0</v>
      </c>
      <c r="J15" s="26">
        <v>0</v>
      </c>
      <c r="K15" s="26"/>
    </row>
    <row r="16" spans="1:11" ht="15.75" x14ac:dyDescent="0.25">
      <c r="A16" s="15" t="s">
        <v>334</v>
      </c>
      <c r="B16" s="16" t="s">
        <v>55</v>
      </c>
      <c r="C16" s="16" t="s">
        <v>56</v>
      </c>
      <c r="D16" s="16" t="s">
        <v>335</v>
      </c>
      <c r="E16" s="16" t="s">
        <v>86</v>
      </c>
      <c r="F16" s="16" t="s">
        <v>87</v>
      </c>
      <c r="G16" s="26">
        <v>88806</v>
      </c>
      <c r="H16" s="26">
        <v>0</v>
      </c>
      <c r="I16" s="26">
        <v>0</v>
      </c>
      <c r="J16" s="26">
        <v>0</v>
      </c>
      <c r="K16" s="26"/>
    </row>
    <row r="17" spans="1:11" ht="15.75" x14ac:dyDescent="0.25">
      <c r="A17" s="15" t="s">
        <v>336</v>
      </c>
      <c r="B17" s="16" t="s">
        <v>55</v>
      </c>
      <c r="C17" s="16" t="s">
        <v>56</v>
      </c>
      <c r="D17" s="16" t="s">
        <v>337</v>
      </c>
      <c r="E17" s="16" t="s">
        <v>86</v>
      </c>
      <c r="F17" s="16" t="s">
        <v>87</v>
      </c>
      <c r="G17" s="26">
        <v>3502</v>
      </c>
      <c r="H17" s="26">
        <v>0</v>
      </c>
      <c r="I17" s="26">
        <v>0</v>
      </c>
      <c r="J17" s="26">
        <v>0</v>
      </c>
      <c r="K17" s="26"/>
    </row>
    <row r="18" spans="1:11" ht="15.75" x14ac:dyDescent="0.25">
      <c r="A18" s="15" t="s">
        <v>188</v>
      </c>
      <c r="B18" s="16" t="s">
        <v>55</v>
      </c>
      <c r="C18" s="16" t="s">
        <v>56</v>
      </c>
      <c r="D18" s="16" t="s">
        <v>173</v>
      </c>
      <c r="E18" s="16" t="s">
        <v>86</v>
      </c>
      <c r="F18" s="16" t="s">
        <v>87</v>
      </c>
      <c r="G18" s="26">
        <v>472</v>
      </c>
      <c r="H18" s="26">
        <v>0</v>
      </c>
      <c r="I18" s="26">
        <v>0</v>
      </c>
      <c r="J18" s="26">
        <v>0</v>
      </c>
      <c r="K18" s="26"/>
    </row>
    <row r="19" spans="1:11" ht="15.75" x14ac:dyDescent="0.25">
      <c r="A19" s="15" t="s">
        <v>189</v>
      </c>
      <c r="B19" s="16" t="s">
        <v>55</v>
      </c>
      <c r="C19" s="16" t="s">
        <v>56</v>
      </c>
      <c r="D19" s="16" t="s">
        <v>108</v>
      </c>
      <c r="E19" s="16" t="s">
        <v>86</v>
      </c>
      <c r="F19" s="16" t="s">
        <v>87</v>
      </c>
      <c r="G19" s="26">
        <v>5110</v>
      </c>
      <c r="H19" s="26">
        <v>0</v>
      </c>
      <c r="I19" s="26">
        <v>0</v>
      </c>
      <c r="J19" s="26">
        <v>0</v>
      </c>
      <c r="K19" s="26"/>
    </row>
    <row r="20" spans="1:11" ht="15.75" x14ac:dyDescent="0.25">
      <c r="A20" s="15" t="s">
        <v>190</v>
      </c>
      <c r="B20" s="16" t="s">
        <v>55</v>
      </c>
      <c r="C20" s="16" t="s">
        <v>56</v>
      </c>
      <c r="D20" s="16" t="s">
        <v>109</v>
      </c>
      <c r="E20" s="16" t="s">
        <v>86</v>
      </c>
      <c r="F20" s="16" t="s">
        <v>87</v>
      </c>
      <c r="G20" s="26">
        <v>6608</v>
      </c>
      <c r="H20" s="26">
        <v>0</v>
      </c>
      <c r="I20" s="26">
        <v>0</v>
      </c>
      <c r="J20" s="26">
        <v>0</v>
      </c>
      <c r="K20" s="26"/>
    </row>
    <row r="21" spans="1:11" ht="15.75" x14ac:dyDescent="0.25">
      <c r="A21" s="15" t="s">
        <v>338</v>
      </c>
      <c r="B21" s="16" t="s">
        <v>55</v>
      </c>
      <c r="C21" s="16" t="s">
        <v>56</v>
      </c>
      <c r="D21" s="16" t="s">
        <v>339</v>
      </c>
      <c r="E21" s="16" t="s">
        <v>86</v>
      </c>
      <c r="F21" s="16" t="s">
        <v>87</v>
      </c>
      <c r="G21" s="26">
        <v>38935</v>
      </c>
      <c r="H21" s="26">
        <v>0</v>
      </c>
      <c r="I21" s="26">
        <v>0</v>
      </c>
      <c r="J21" s="26">
        <v>0</v>
      </c>
      <c r="K21" s="26"/>
    </row>
    <row r="22" spans="1:11" ht="15.75" x14ac:dyDescent="0.25">
      <c r="A22" s="15" t="s">
        <v>110</v>
      </c>
      <c r="B22" s="16" t="s">
        <v>55</v>
      </c>
      <c r="C22" s="16" t="s">
        <v>56</v>
      </c>
      <c r="D22" s="16" t="s">
        <v>111</v>
      </c>
      <c r="E22" s="16" t="s">
        <v>86</v>
      </c>
      <c r="F22" s="16" t="s">
        <v>87</v>
      </c>
      <c r="G22" s="26">
        <v>6998</v>
      </c>
      <c r="H22" s="26">
        <v>0</v>
      </c>
      <c r="I22" s="26">
        <v>0</v>
      </c>
      <c r="J22" s="26">
        <v>0</v>
      </c>
      <c r="K22" s="26"/>
    </row>
    <row r="23" spans="1:11" ht="15.75" x14ac:dyDescent="0.25">
      <c r="A23" s="15" t="s">
        <v>191</v>
      </c>
      <c r="B23" s="16" t="s">
        <v>55</v>
      </c>
      <c r="C23" s="16" t="s">
        <v>58</v>
      </c>
      <c r="D23" s="16" t="s">
        <v>112</v>
      </c>
      <c r="E23" s="16" t="s">
        <v>86</v>
      </c>
      <c r="F23" s="16" t="s">
        <v>87</v>
      </c>
      <c r="G23" s="26">
        <v>50609</v>
      </c>
      <c r="H23" s="26">
        <v>0</v>
      </c>
      <c r="I23" s="26">
        <v>0</v>
      </c>
      <c r="J23" s="26">
        <v>5398</v>
      </c>
      <c r="K23" s="26"/>
    </row>
    <row r="24" spans="1:11" ht="15.75" x14ac:dyDescent="0.25">
      <c r="A24" s="15" t="s">
        <v>192</v>
      </c>
      <c r="B24" s="16" t="s">
        <v>55</v>
      </c>
      <c r="C24" s="16" t="s">
        <v>56</v>
      </c>
      <c r="D24" s="16" t="s">
        <v>113</v>
      </c>
      <c r="E24" s="16" t="s">
        <v>86</v>
      </c>
      <c r="F24" s="16" t="s">
        <v>87</v>
      </c>
      <c r="G24" s="26">
        <v>24935</v>
      </c>
      <c r="H24" s="26">
        <v>0</v>
      </c>
      <c r="I24" s="26">
        <v>0</v>
      </c>
      <c r="J24" s="26">
        <v>0</v>
      </c>
      <c r="K24" s="26"/>
    </row>
    <row r="25" spans="1:11" ht="15.75" x14ac:dyDescent="0.25">
      <c r="A25" s="15" t="s">
        <v>89</v>
      </c>
      <c r="B25" s="16" t="s">
        <v>55</v>
      </c>
      <c r="C25" s="16" t="s">
        <v>56</v>
      </c>
      <c r="D25" s="16" t="s">
        <v>60</v>
      </c>
      <c r="E25" s="16" t="s">
        <v>86</v>
      </c>
      <c r="F25" s="16" t="s">
        <v>87</v>
      </c>
      <c r="G25" s="26">
        <v>30718</v>
      </c>
      <c r="H25" s="26">
        <v>0</v>
      </c>
      <c r="I25" s="26">
        <v>0</v>
      </c>
      <c r="J25" s="26">
        <v>0</v>
      </c>
      <c r="K25" s="26"/>
    </row>
    <row r="26" spans="1:11" ht="15.75" x14ac:dyDescent="0.25">
      <c r="A26" s="15" t="s">
        <v>193</v>
      </c>
      <c r="B26" s="16" t="s">
        <v>55</v>
      </c>
      <c r="C26" s="16" t="s">
        <v>56</v>
      </c>
      <c r="D26" s="16" t="s">
        <v>163</v>
      </c>
      <c r="E26" s="16" t="s">
        <v>86</v>
      </c>
      <c r="F26" s="16" t="s">
        <v>87</v>
      </c>
      <c r="G26" s="26">
        <v>8620</v>
      </c>
      <c r="H26" s="26">
        <v>0</v>
      </c>
      <c r="I26" s="26">
        <v>0</v>
      </c>
      <c r="J26" s="26">
        <v>0</v>
      </c>
      <c r="K26" s="26"/>
    </row>
    <row r="27" spans="1:11" ht="15.75" x14ac:dyDescent="0.25">
      <c r="A27" s="15" t="s">
        <v>90</v>
      </c>
      <c r="B27" s="16" t="s">
        <v>55</v>
      </c>
      <c r="C27" s="16" t="s">
        <v>56</v>
      </c>
      <c r="D27" s="16" t="s">
        <v>61</v>
      </c>
      <c r="E27" s="16" t="s">
        <v>86</v>
      </c>
      <c r="F27" s="16" t="s">
        <v>87</v>
      </c>
      <c r="G27" s="26">
        <v>3296</v>
      </c>
      <c r="H27" s="26">
        <v>22189</v>
      </c>
      <c r="I27" s="26">
        <v>0</v>
      </c>
      <c r="J27" s="26">
        <v>0</v>
      </c>
      <c r="K27" s="26"/>
    </row>
    <row r="28" spans="1:11" ht="15.75" x14ac:dyDescent="0.25">
      <c r="A28" s="15" t="s">
        <v>340</v>
      </c>
      <c r="B28" s="16" t="s">
        <v>55</v>
      </c>
      <c r="C28" s="16" t="s">
        <v>56</v>
      </c>
      <c r="D28" s="16" t="s">
        <v>341</v>
      </c>
      <c r="E28" s="16" t="s">
        <v>86</v>
      </c>
      <c r="F28" s="16" t="s">
        <v>87</v>
      </c>
      <c r="G28" s="26">
        <v>4600</v>
      </c>
      <c r="H28" s="26">
        <v>0</v>
      </c>
      <c r="I28" s="26">
        <v>0</v>
      </c>
      <c r="J28" s="26">
        <v>0</v>
      </c>
      <c r="K28" s="26"/>
    </row>
    <row r="29" spans="1:11" ht="15.75" x14ac:dyDescent="0.25">
      <c r="A29" s="15" t="s">
        <v>194</v>
      </c>
      <c r="B29" s="16" t="s">
        <v>55</v>
      </c>
      <c r="C29" s="16" t="s">
        <v>57</v>
      </c>
      <c r="D29" s="16" t="s">
        <v>114</v>
      </c>
      <c r="E29" s="16" t="s">
        <v>86</v>
      </c>
      <c r="F29" s="16" t="s">
        <v>87</v>
      </c>
      <c r="G29" s="26">
        <v>0</v>
      </c>
      <c r="H29" s="26">
        <v>0</v>
      </c>
      <c r="I29" s="26">
        <v>467593</v>
      </c>
      <c r="J29" s="26">
        <v>0</v>
      </c>
      <c r="K29" s="26"/>
    </row>
    <row r="30" spans="1:11" ht="15.75" x14ac:dyDescent="0.25">
      <c r="A30" s="15" t="s">
        <v>195</v>
      </c>
      <c r="B30" s="16" t="s">
        <v>55</v>
      </c>
      <c r="C30" s="16" t="s">
        <v>57</v>
      </c>
      <c r="D30" s="16" t="s">
        <v>115</v>
      </c>
      <c r="E30" s="16" t="s">
        <v>86</v>
      </c>
      <c r="F30" s="16" t="s">
        <v>87</v>
      </c>
      <c r="G30" s="26">
        <v>0</v>
      </c>
      <c r="H30" s="26">
        <v>0</v>
      </c>
      <c r="I30" s="26">
        <v>58941</v>
      </c>
      <c r="J30" s="26">
        <v>0</v>
      </c>
      <c r="K30" s="26"/>
    </row>
    <row r="31" spans="1:11" ht="15.75" x14ac:dyDescent="0.25">
      <c r="A31" s="15" t="s">
        <v>342</v>
      </c>
      <c r="B31" s="16" t="s">
        <v>55</v>
      </c>
      <c r="C31" s="16" t="s">
        <v>56</v>
      </c>
      <c r="D31" s="16" t="s">
        <v>343</v>
      </c>
      <c r="E31" s="16" t="s">
        <v>86</v>
      </c>
      <c r="F31" s="16" t="s">
        <v>87</v>
      </c>
      <c r="G31" s="26">
        <v>2700</v>
      </c>
      <c r="H31" s="26">
        <v>0</v>
      </c>
      <c r="I31" s="26">
        <v>0</v>
      </c>
      <c r="J31" s="26">
        <v>0</v>
      </c>
      <c r="K31" s="26"/>
    </row>
    <row r="32" spans="1:11" ht="15.75" x14ac:dyDescent="0.25">
      <c r="A32" s="15" t="s">
        <v>344</v>
      </c>
      <c r="B32" s="16" t="s">
        <v>55</v>
      </c>
      <c r="C32" s="16" t="s">
        <v>56</v>
      </c>
      <c r="D32" s="16" t="s">
        <v>345</v>
      </c>
      <c r="E32" s="16" t="s">
        <v>86</v>
      </c>
      <c r="F32" s="16" t="s">
        <v>87</v>
      </c>
      <c r="G32" s="26">
        <v>210548</v>
      </c>
      <c r="H32" s="26">
        <v>0</v>
      </c>
      <c r="I32" s="26">
        <v>0</v>
      </c>
      <c r="J32" s="26">
        <v>0</v>
      </c>
      <c r="K32" s="26"/>
    </row>
    <row r="33" spans="1:11" ht="15.75" x14ac:dyDescent="0.25">
      <c r="A33" s="15" t="s">
        <v>260</v>
      </c>
      <c r="B33" s="16" t="s">
        <v>55</v>
      </c>
      <c r="C33" s="16" t="s">
        <v>56</v>
      </c>
      <c r="D33" s="16" t="s">
        <v>261</v>
      </c>
      <c r="E33" s="16" t="s">
        <v>86</v>
      </c>
      <c r="F33" s="16" t="s">
        <v>87</v>
      </c>
      <c r="G33" s="26">
        <v>0</v>
      </c>
      <c r="H33" s="26">
        <v>130</v>
      </c>
      <c r="I33" s="26">
        <v>0</v>
      </c>
      <c r="J33" s="26">
        <v>0</v>
      </c>
      <c r="K33" s="26"/>
    </row>
    <row r="34" spans="1:11" ht="15.75" x14ac:dyDescent="0.25">
      <c r="A34" s="15" t="s">
        <v>346</v>
      </c>
      <c r="B34" s="16" t="s">
        <v>55</v>
      </c>
      <c r="C34" s="16" t="s">
        <v>56</v>
      </c>
      <c r="D34" s="16" t="s">
        <v>347</v>
      </c>
      <c r="E34" s="16" t="s">
        <v>86</v>
      </c>
      <c r="F34" s="16" t="s">
        <v>87</v>
      </c>
      <c r="G34" s="26">
        <v>28736</v>
      </c>
      <c r="H34" s="26">
        <v>0</v>
      </c>
      <c r="I34" s="26">
        <v>0</v>
      </c>
      <c r="J34" s="26">
        <v>0</v>
      </c>
      <c r="K34" s="26"/>
    </row>
    <row r="35" spans="1:11" ht="15.75" x14ac:dyDescent="0.25">
      <c r="A35" s="15" t="s">
        <v>196</v>
      </c>
      <c r="B35" s="16" t="s">
        <v>55</v>
      </c>
      <c r="C35" s="16" t="s">
        <v>56</v>
      </c>
      <c r="D35" s="16" t="s">
        <v>116</v>
      </c>
      <c r="E35" s="16" t="s">
        <v>86</v>
      </c>
      <c r="F35" s="16" t="s">
        <v>87</v>
      </c>
      <c r="G35" s="26">
        <v>0</v>
      </c>
      <c r="H35" s="26">
        <v>285376</v>
      </c>
      <c r="I35" s="26">
        <v>0</v>
      </c>
      <c r="J35" s="26">
        <v>0</v>
      </c>
      <c r="K35" s="26"/>
    </row>
    <row r="36" spans="1:11" ht="15.75" x14ac:dyDescent="0.25">
      <c r="A36" s="15" t="s">
        <v>348</v>
      </c>
      <c r="B36" s="16" t="s">
        <v>55</v>
      </c>
      <c r="C36" s="16" t="s">
        <v>56</v>
      </c>
      <c r="D36" s="16" t="s">
        <v>349</v>
      </c>
      <c r="E36" s="16" t="s">
        <v>86</v>
      </c>
      <c r="F36" s="16" t="s">
        <v>87</v>
      </c>
      <c r="G36" s="26">
        <v>22950</v>
      </c>
      <c r="H36" s="26">
        <v>0</v>
      </c>
      <c r="I36" s="26">
        <v>0</v>
      </c>
      <c r="J36" s="26">
        <v>0</v>
      </c>
      <c r="K36" s="26"/>
    </row>
    <row r="37" spans="1:11" ht="15.75" x14ac:dyDescent="0.25">
      <c r="A37" s="15" t="s">
        <v>350</v>
      </c>
      <c r="B37" s="16" t="s">
        <v>55</v>
      </c>
      <c r="C37" s="16" t="s">
        <v>56</v>
      </c>
      <c r="D37" s="16" t="s">
        <v>351</v>
      </c>
      <c r="E37" s="16" t="s">
        <v>86</v>
      </c>
      <c r="F37" s="16" t="s">
        <v>87</v>
      </c>
      <c r="G37" s="26">
        <v>0</v>
      </c>
      <c r="H37" s="26">
        <v>403</v>
      </c>
      <c r="I37" s="26">
        <v>0</v>
      </c>
      <c r="J37" s="26">
        <v>0</v>
      </c>
      <c r="K37" s="26"/>
    </row>
    <row r="38" spans="1:11" ht="15.75" x14ac:dyDescent="0.25">
      <c r="A38" s="15" t="s">
        <v>170</v>
      </c>
      <c r="B38" s="16" t="s">
        <v>55</v>
      </c>
      <c r="C38" s="16" t="s">
        <v>56</v>
      </c>
      <c r="D38" s="16" t="s">
        <v>171</v>
      </c>
      <c r="E38" s="16" t="s">
        <v>86</v>
      </c>
      <c r="F38" s="16" t="s">
        <v>87</v>
      </c>
      <c r="G38" s="26">
        <v>18760</v>
      </c>
      <c r="H38" s="26">
        <v>0</v>
      </c>
      <c r="I38" s="26">
        <v>0</v>
      </c>
      <c r="J38" s="26">
        <v>0</v>
      </c>
      <c r="K38" s="26"/>
    </row>
    <row r="39" spans="1:11" ht="15.75" x14ac:dyDescent="0.25">
      <c r="A39" s="15" t="s">
        <v>197</v>
      </c>
      <c r="B39" s="16" t="s">
        <v>55</v>
      </c>
      <c r="C39" s="16" t="s">
        <v>56</v>
      </c>
      <c r="D39" s="16" t="s">
        <v>62</v>
      </c>
      <c r="E39" s="16" t="s">
        <v>86</v>
      </c>
      <c r="F39" s="16" t="s">
        <v>87</v>
      </c>
      <c r="G39" s="26">
        <v>102362</v>
      </c>
      <c r="H39" s="26">
        <v>0</v>
      </c>
      <c r="I39" s="26">
        <v>0</v>
      </c>
      <c r="J39" s="26">
        <v>0</v>
      </c>
      <c r="K39" s="26"/>
    </row>
    <row r="40" spans="1:11" ht="15.75" x14ac:dyDescent="0.25">
      <c r="A40" s="15" t="s">
        <v>352</v>
      </c>
      <c r="B40" s="16" t="s">
        <v>55</v>
      </c>
      <c r="C40" s="16" t="s">
        <v>56</v>
      </c>
      <c r="D40" s="16" t="s">
        <v>300</v>
      </c>
      <c r="E40" s="16" t="s">
        <v>86</v>
      </c>
      <c r="F40" s="16" t="s">
        <v>87</v>
      </c>
      <c r="G40" s="26">
        <v>1738</v>
      </c>
      <c r="H40" s="26">
        <v>4</v>
      </c>
      <c r="I40" s="26">
        <v>0</v>
      </c>
      <c r="J40" s="26">
        <v>0</v>
      </c>
      <c r="K40" s="26"/>
    </row>
    <row r="41" spans="1:11" ht="15.75" x14ac:dyDescent="0.25">
      <c r="A41" s="15" t="s">
        <v>198</v>
      </c>
      <c r="B41" s="16" t="s">
        <v>55</v>
      </c>
      <c r="C41" s="16" t="s">
        <v>57</v>
      </c>
      <c r="D41" s="16" t="s">
        <v>117</v>
      </c>
      <c r="E41" s="16" t="s">
        <v>86</v>
      </c>
      <c r="F41" s="16" t="s">
        <v>87</v>
      </c>
      <c r="G41" s="26">
        <v>0</v>
      </c>
      <c r="H41" s="26">
        <v>0</v>
      </c>
      <c r="I41" s="26">
        <v>150783</v>
      </c>
      <c r="J41" s="26">
        <v>0</v>
      </c>
      <c r="K41" s="26"/>
    </row>
    <row r="42" spans="1:11" ht="15.75" x14ac:dyDescent="0.25">
      <c r="A42" s="15" t="s">
        <v>353</v>
      </c>
      <c r="B42" s="16" t="s">
        <v>55</v>
      </c>
      <c r="C42" s="16" t="s">
        <v>56</v>
      </c>
      <c r="D42" s="16" t="s">
        <v>354</v>
      </c>
      <c r="E42" s="16" t="s">
        <v>86</v>
      </c>
      <c r="F42" s="16" t="s">
        <v>87</v>
      </c>
      <c r="G42" s="26">
        <v>60000</v>
      </c>
      <c r="H42" s="26">
        <v>0</v>
      </c>
      <c r="I42" s="26">
        <v>0</v>
      </c>
      <c r="J42" s="26">
        <v>0</v>
      </c>
      <c r="K42" s="26"/>
    </row>
    <row r="43" spans="1:11" ht="15.75" x14ac:dyDescent="0.25">
      <c r="A43" s="15" t="s">
        <v>118</v>
      </c>
      <c r="B43" s="16" t="s">
        <v>55</v>
      </c>
      <c r="C43" s="16" t="s">
        <v>56</v>
      </c>
      <c r="D43" s="16" t="s">
        <v>119</v>
      </c>
      <c r="E43" s="16" t="s">
        <v>86</v>
      </c>
      <c r="F43" s="16" t="s">
        <v>87</v>
      </c>
      <c r="G43" s="26">
        <v>0</v>
      </c>
      <c r="H43" s="26">
        <v>18245</v>
      </c>
      <c r="I43" s="26">
        <v>0</v>
      </c>
      <c r="J43" s="26">
        <v>0</v>
      </c>
      <c r="K43" s="26"/>
    </row>
    <row r="44" spans="1:11" ht="15.75" x14ac:dyDescent="0.25">
      <c r="A44" s="15" t="s">
        <v>91</v>
      </c>
      <c r="B44" s="16" t="s">
        <v>55</v>
      </c>
      <c r="C44" s="16" t="s">
        <v>56</v>
      </c>
      <c r="D44" s="16" t="s">
        <v>63</v>
      </c>
      <c r="E44" s="16" t="s">
        <v>86</v>
      </c>
      <c r="F44" s="16" t="s">
        <v>87</v>
      </c>
      <c r="G44" s="26">
        <v>0</v>
      </c>
      <c r="H44" s="26">
        <v>1579481</v>
      </c>
      <c r="I44" s="26">
        <v>0</v>
      </c>
      <c r="J44" s="26">
        <v>0</v>
      </c>
      <c r="K44" s="26"/>
    </row>
    <row r="45" spans="1:11" ht="15.75" x14ac:dyDescent="0.25">
      <c r="A45" s="15" t="s">
        <v>92</v>
      </c>
      <c r="B45" s="16" t="s">
        <v>55</v>
      </c>
      <c r="C45" s="16" t="s">
        <v>56</v>
      </c>
      <c r="D45" s="16" t="s">
        <v>64</v>
      </c>
      <c r="E45" s="16" t="s">
        <v>86</v>
      </c>
      <c r="F45" s="16" t="s">
        <v>87</v>
      </c>
      <c r="G45" s="26">
        <v>0</v>
      </c>
      <c r="H45" s="26">
        <v>1617750</v>
      </c>
      <c r="I45" s="26">
        <v>0</v>
      </c>
      <c r="J45" s="26">
        <v>0</v>
      </c>
      <c r="K45" s="26"/>
    </row>
    <row r="46" spans="1:11" ht="15.75" x14ac:dyDescent="0.25">
      <c r="A46" s="15" t="s">
        <v>199</v>
      </c>
      <c r="B46" s="16" t="s">
        <v>55</v>
      </c>
      <c r="C46" s="16" t="s">
        <v>56</v>
      </c>
      <c r="D46" s="16" t="s">
        <v>120</v>
      </c>
      <c r="E46" s="16" t="s">
        <v>86</v>
      </c>
      <c r="F46" s="16" t="s">
        <v>87</v>
      </c>
      <c r="G46" s="26">
        <v>2086</v>
      </c>
      <c r="H46" s="26">
        <v>0</v>
      </c>
      <c r="I46" s="26">
        <v>0</v>
      </c>
      <c r="J46" s="26">
        <v>0</v>
      </c>
      <c r="K46" s="26"/>
    </row>
    <row r="47" spans="1:11" ht="15.75" x14ac:dyDescent="0.25">
      <c r="A47" s="15" t="s">
        <v>200</v>
      </c>
      <c r="B47" s="16" t="s">
        <v>55</v>
      </c>
      <c r="C47" s="16" t="s">
        <v>56</v>
      </c>
      <c r="D47" s="16" t="s">
        <v>121</v>
      </c>
      <c r="E47" s="16" t="s">
        <v>86</v>
      </c>
      <c r="F47" s="16" t="s">
        <v>87</v>
      </c>
      <c r="G47" s="26">
        <v>2681</v>
      </c>
      <c r="H47" s="26">
        <v>0</v>
      </c>
      <c r="I47" s="26">
        <v>0</v>
      </c>
      <c r="J47" s="26">
        <v>0</v>
      </c>
      <c r="K47" s="26"/>
    </row>
    <row r="48" spans="1:11" ht="15.75" x14ac:dyDescent="0.25">
      <c r="A48" s="15" t="s">
        <v>201</v>
      </c>
      <c r="B48" s="16" t="s">
        <v>55</v>
      </c>
      <c r="C48" s="16" t="s">
        <v>57</v>
      </c>
      <c r="D48" s="16" t="s">
        <v>65</v>
      </c>
      <c r="E48" s="16" t="s">
        <v>86</v>
      </c>
      <c r="F48" s="16" t="s">
        <v>87</v>
      </c>
      <c r="G48" s="26">
        <v>30000</v>
      </c>
      <c r="H48" s="26">
        <v>0</v>
      </c>
      <c r="I48" s="26">
        <v>42644</v>
      </c>
      <c r="J48" s="26">
        <v>3200</v>
      </c>
      <c r="K48" s="26"/>
    </row>
    <row r="49" spans="1:11" ht="15.75" x14ac:dyDescent="0.25">
      <c r="A49" s="15" t="s">
        <v>93</v>
      </c>
      <c r="B49" s="16" t="s">
        <v>55</v>
      </c>
      <c r="C49" s="16" t="s">
        <v>56</v>
      </c>
      <c r="D49" s="16" t="s">
        <v>66</v>
      </c>
      <c r="E49" s="16" t="s">
        <v>86</v>
      </c>
      <c r="F49" s="16" t="s">
        <v>87</v>
      </c>
      <c r="G49" s="26">
        <v>43510</v>
      </c>
      <c r="H49" s="26">
        <v>0</v>
      </c>
      <c r="I49" s="26">
        <v>0</v>
      </c>
      <c r="J49" s="26">
        <v>0</v>
      </c>
      <c r="K49" s="26"/>
    </row>
    <row r="50" spans="1:11" ht="15.75" x14ac:dyDescent="0.25">
      <c r="A50" s="15" t="s">
        <v>301</v>
      </c>
      <c r="B50" s="16" t="s">
        <v>55</v>
      </c>
      <c r="C50" s="16" t="s">
        <v>56</v>
      </c>
      <c r="D50" s="16" t="s">
        <v>302</v>
      </c>
      <c r="E50" s="16" t="s">
        <v>86</v>
      </c>
      <c r="F50" s="16" t="s">
        <v>87</v>
      </c>
      <c r="G50" s="26">
        <v>4618</v>
      </c>
      <c r="H50" s="26">
        <v>0</v>
      </c>
      <c r="I50" s="26">
        <v>0</v>
      </c>
      <c r="J50" s="26">
        <v>0</v>
      </c>
      <c r="K50" s="26"/>
    </row>
    <row r="51" spans="1:11" ht="15.75" x14ac:dyDescent="0.25">
      <c r="A51" s="15" t="s">
        <v>355</v>
      </c>
      <c r="B51" s="16" t="s">
        <v>55</v>
      </c>
      <c r="C51" s="16" t="s">
        <v>56</v>
      </c>
      <c r="D51" s="16" t="s">
        <v>356</v>
      </c>
      <c r="E51" s="16" t="s">
        <v>86</v>
      </c>
      <c r="F51" s="16" t="s">
        <v>87</v>
      </c>
      <c r="G51" s="26">
        <v>0</v>
      </c>
      <c r="H51" s="26">
        <v>57000</v>
      </c>
      <c r="I51" s="26">
        <v>0</v>
      </c>
      <c r="J51" s="26">
        <v>0</v>
      </c>
      <c r="K51" s="26"/>
    </row>
    <row r="52" spans="1:11" ht="15.75" x14ac:dyDescent="0.25">
      <c r="A52" s="15" t="s">
        <v>202</v>
      </c>
      <c r="B52" s="16" t="s">
        <v>55</v>
      </c>
      <c r="C52" s="16" t="s">
        <v>56</v>
      </c>
      <c r="D52" s="16" t="s">
        <v>122</v>
      </c>
      <c r="E52" s="16" t="s">
        <v>86</v>
      </c>
      <c r="F52" s="16" t="s">
        <v>87</v>
      </c>
      <c r="G52" s="26">
        <v>0</v>
      </c>
      <c r="H52" s="26">
        <v>591565</v>
      </c>
      <c r="I52" s="26">
        <v>0</v>
      </c>
      <c r="J52" s="26">
        <v>0</v>
      </c>
      <c r="K52" s="26"/>
    </row>
    <row r="53" spans="1:11" ht="15.75" x14ac:dyDescent="0.25">
      <c r="A53" s="15" t="s">
        <v>357</v>
      </c>
      <c r="B53" s="16" t="s">
        <v>55</v>
      </c>
      <c r="C53" s="16" t="s">
        <v>56</v>
      </c>
      <c r="D53" s="16" t="s">
        <v>358</v>
      </c>
      <c r="E53" s="16" t="s">
        <v>86</v>
      </c>
      <c r="F53" s="16" t="s">
        <v>87</v>
      </c>
      <c r="G53" s="26">
        <v>0</v>
      </c>
      <c r="H53" s="26">
        <v>1920</v>
      </c>
      <c r="I53" s="26">
        <v>0</v>
      </c>
      <c r="J53" s="26">
        <v>0</v>
      </c>
      <c r="K53" s="26"/>
    </row>
    <row r="54" spans="1:11" ht="15.75" x14ac:dyDescent="0.25">
      <c r="A54" s="15" t="s">
        <v>203</v>
      </c>
      <c r="B54" s="16" t="s">
        <v>55</v>
      </c>
      <c r="C54" s="16" t="s">
        <v>56</v>
      </c>
      <c r="D54" s="16" t="s">
        <v>67</v>
      </c>
      <c r="E54" s="16" t="s">
        <v>86</v>
      </c>
      <c r="F54" s="16" t="s">
        <v>87</v>
      </c>
      <c r="G54" s="26">
        <v>0</v>
      </c>
      <c r="H54" s="26">
        <v>595780</v>
      </c>
      <c r="I54" s="26">
        <v>0</v>
      </c>
      <c r="J54" s="26">
        <v>0</v>
      </c>
      <c r="K54" s="26"/>
    </row>
    <row r="55" spans="1:11" ht="15.75" x14ac:dyDescent="0.25">
      <c r="A55" s="15" t="s">
        <v>204</v>
      </c>
      <c r="B55" s="16" t="s">
        <v>55</v>
      </c>
      <c r="C55" s="16" t="s">
        <v>56</v>
      </c>
      <c r="D55" s="16" t="s">
        <v>166</v>
      </c>
      <c r="E55" s="16" t="s">
        <v>86</v>
      </c>
      <c r="F55" s="16" t="s">
        <v>87</v>
      </c>
      <c r="G55" s="26">
        <v>4044</v>
      </c>
      <c r="H55" s="26">
        <v>0</v>
      </c>
      <c r="I55" s="26">
        <v>0</v>
      </c>
      <c r="J55" s="26">
        <v>0</v>
      </c>
      <c r="K55" s="26"/>
    </row>
    <row r="56" spans="1:11" ht="15.75" x14ac:dyDescent="0.25">
      <c r="A56" s="15" t="s">
        <v>303</v>
      </c>
      <c r="B56" s="16" t="s">
        <v>55</v>
      </c>
      <c r="C56" s="16" t="s">
        <v>56</v>
      </c>
      <c r="D56" s="16" t="s">
        <v>304</v>
      </c>
      <c r="E56" s="16" t="s">
        <v>86</v>
      </c>
      <c r="F56" s="16" t="s">
        <v>87</v>
      </c>
      <c r="G56" s="26">
        <v>0</v>
      </c>
      <c r="H56" s="26">
        <v>0</v>
      </c>
      <c r="I56" s="26">
        <v>0</v>
      </c>
      <c r="J56" s="26">
        <v>0</v>
      </c>
      <c r="K56" s="26"/>
    </row>
    <row r="57" spans="1:11" ht="15.75" x14ac:dyDescent="0.25">
      <c r="A57" s="15" t="s">
        <v>305</v>
      </c>
      <c r="B57" s="16" t="s">
        <v>55</v>
      </c>
      <c r="C57" s="16" t="s">
        <v>56</v>
      </c>
      <c r="D57" s="16" t="s">
        <v>306</v>
      </c>
      <c r="E57" s="16" t="s">
        <v>86</v>
      </c>
      <c r="F57" s="16" t="s">
        <v>87</v>
      </c>
      <c r="G57" s="26">
        <v>3017</v>
      </c>
      <c r="H57" s="26">
        <v>0</v>
      </c>
      <c r="I57" s="26">
        <v>0</v>
      </c>
      <c r="J57" s="26">
        <v>0</v>
      </c>
      <c r="K57" s="26"/>
    </row>
    <row r="58" spans="1:11" ht="15.75" x14ac:dyDescent="0.25">
      <c r="A58" s="15" t="s">
        <v>264</v>
      </c>
      <c r="B58" s="16" t="s">
        <v>55</v>
      </c>
      <c r="C58" s="16" t="s">
        <v>56</v>
      </c>
      <c r="D58" s="16" t="s">
        <v>265</v>
      </c>
      <c r="E58" s="16" t="s">
        <v>86</v>
      </c>
      <c r="F58" s="16" t="s">
        <v>87</v>
      </c>
      <c r="G58" s="26">
        <v>0</v>
      </c>
      <c r="H58" s="26">
        <v>2471</v>
      </c>
      <c r="I58" s="26">
        <v>0</v>
      </c>
      <c r="J58" s="26">
        <v>0</v>
      </c>
      <c r="K58" s="26"/>
    </row>
    <row r="59" spans="1:11" ht="15.75" x14ac:dyDescent="0.25">
      <c r="A59" s="15" t="s">
        <v>205</v>
      </c>
      <c r="B59" s="16" t="s">
        <v>55</v>
      </c>
      <c r="C59" s="16" t="s">
        <v>56</v>
      </c>
      <c r="D59" s="16" t="s">
        <v>123</v>
      </c>
      <c r="E59" s="16" t="s">
        <v>86</v>
      </c>
      <c r="F59" s="16" t="s">
        <v>87</v>
      </c>
      <c r="G59" s="26">
        <v>63321</v>
      </c>
      <c r="H59" s="26">
        <v>0</v>
      </c>
      <c r="I59" s="26">
        <v>0</v>
      </c>
      <c r="J59" s="26">
        <v>0</v>
      </c>
      <c r="K59" s="26"/>
    </row>
    <row r="60" spans="1:11" ht="15.75" x14ac:dyDescent="0.25">
      <c r="A60" s="15" t="s">
        <v>206</v>
      </c>
      <c r="B60" s="16" t="s">
        <v>55</v>
      </c>
      <c r="C60" s="16" t="s">
        <v>56</v>
      </c>
      <c r="D60" s="16" t="s">
        <v>124</v>
      </c>
      <c r="E60" s="16" t="s">
        <v>86</v>
      </c>
      <c r="F60" s="16" t="s">
        <v>87</v>
      </c>
      <c r="G60" s="26">
        <v>7250</v>
      </c>
      <c r="H60" s="26">
        <v>0</v>
      </c>
      <c r="I60" s="26">
        <v>0</v>
      </c>
      <c r="J60" s="26">
        <v>0</v>
      </c>
      <c r="K60" s="26"/>
    </row>
    <row r="61" spans="1:11" ht="15.75" x14ac:dyDescent="0.25">
      <c r="A61" s="15" t="s">
        <v>207</v>
      </c>
      <c r="B61" s="16" t="s">
        <v>55</v>
      </c>
      <c r="C61" s="16" t="s">
        <v>56</v>
      </c>
      <c r="D61" s="16" t="s">
        <v>125</v>
      </c>
      <c r="E61" s="16" t="s">
        <v>86</v>
      </c>
      <c r="F61" s="16" t="s">
        <v>87</v>
      </c>
      <c r="G61" s="26">
        <v>16655</v>
      </c>
      <c r="H61" s="26">
        <v>0</v>
      </c>
      <c r="I61" s="26">
        <v>0</v>
      </c>
      <c r="J61" s="26">
        <v>0</v>
      </c>
      <c r="K61" s="26"/>
    </row>
    <row r="62" spans="1:11" ht="15.75" x14ac:dyDescent="0.25">
      <c r="A62" s="15" t="s">
        <v>307</v>
      </c>
      <c r="B62" s="16" t="s">
        <v>55</v>
      </c>
      <c r="C62" s="16" t="s">
        <v>56</v>
      </c>
      <c r="D62" s="16" t="s">
        <v>308</v>
      </c>
      <c r="E62" s="16" t="s">
        <v>86</v>
      </c>
      <c r="F62" s="16" t="s">
        <v>87</v>
      </c>
      <c r="G62" s="26">
        <v>67594</v>
      </c>
      <c r="H62" s="26">
        <v>0</v>
      </c>
      <c r="I62" s="26">
        <v>0</v>
      </c>
      <c r="J62" s="26">
        <v>0</v>
      </c>
      <c r="K62" s="26"/>
    </row>
    <row r="63" spans="1:11" ht="15.75" x14ac:dyDescent="0.25">
      <c r="A63" s="15" t="s">
        <v>96</v>
      </c>
      <c r="B63" s="16" t="s">
        <v>55</v>
      </c>
      <c r="C63" s="16" t="s">
        <v>56</v>
      </c>
      <c r="D63" s="16" t="s">
        <v>70</v>
      </c>
      <c r="E63" s="16" t="s">
        <v>86</v>
      </c>
      <c r="F63" s="16" t="s">
        <v>87</v>
      </c>
      <c r="G63" s="26">
        <v>7268</v>
      </c>
      <c r="H63" s="26">
        <v>0</v>
      </c>
      <c r="I63" s="26">
        <v>0</v>
      </c>
      <c r="J63" s="26">
        <v>0</v>
      </c>
      <c r="K63" s="26"/>
    </row>
    <row r="64" spans="1:11" ht="15.75" x14ac:dyDescent="0.25">
      <c r="A64" s="15" t="s">
        <v>266</v>
      </c>
      <c r="B64" s="16" t="s">
        <v>55</v>
      </c>
      <c r="C64" s="16" t="s">
        <v>56</v>
      </c>
      <c r="D64" s="16" t="s">
        <v>267</v>
      </c>
      <c r="E64" s="16" t="s">
        <v>86</v>
      </c>
      <c r="F64" s="16" t="s">
        <v>87</v>
      </c>
      <c r="G64" s="26">
        <v>288</v>
      </c>
      <c r="H64" s="26">
        <v>0</v>
      </c>
      <c r="I64" s="26">
        <v>0</v>
      </c>
      <c r="J64" s="26">
        <v>0</v>
      </c>
      <c r="K64" s="26"/>
    </row>
    <row r="65" spans="1:11" ht="15.75" x14ac:dyDescent="0.25">
      <c r="A65" s="15" t="s">
        <v>208</v>
      </c>
      <c r="B65" s="16" t="s">
        <v>55</v>
      </c>
      <c r="C65" s="16" t="s">
        <v>56</v>
      </c>
      <c r="D65" s="16" t="s">
        <v>126</v>
      </c>
      <c r="E65" s="16" t="s">
        <v>86</v>
      </c>
      <c r="F65" s="16" t="s">
        <v>87</v>
      </c>
      <c r="G65" s="26">
        <v>0</v>
      </c>
      <c r="H65" s="26">
        <v>979841</v>
      </c>
      <c r="I65" s="26">
        <v>0</v>
      </c>
      <c r="J65" s="26">
        <v>0</v>
      </c>
      <c r="K65" s="26"/>
    </row>
    <row r="66" spans="1:11" ht="15.75" x14ac:dyDescent="0.25">
      <c r="A66" s="15" t="s">
        <v>268</v>
      </c>
      <c r="B66" s="16" t="s">
        <v>55</v>
      </c>
      <c r="C66" s="16" t="s">
        <v>56</v>
      </c>
      <c r="D66" s="16" t="s">
        <v>269</v>
      </c>
      <c r="E66" s="16" t="s">
        <v>86</v>
      </c>
      <c r="F66" s="16" t="s">
        <v>87</v>
      </c>
      <c r="G66" s="26">
        <v>1200</v>
      </c>
      <c r="H66" s="26">
        <v>0</v>
      </c>
      <c r="I66" s="26">
        <v>0</v>
      </c>
      <c r="J66" s="26">
        <v>0</v>
      </c>
      <c r="K66" s="26"/>
    </row>
    <row r="67" spans="1:11" ht="15.75" x14ac:dyDescent="0.25">
      <c r="A67" s="15" t="s">
        <v>209</v>
      </c>
      <c r="B67" s="16" t="s">
        <v>55</v>
      </c>
      <c r="C67" s="16" t="s">
        <v>56</v>
      </c>
      <c r="D67" s="16" t="s">
        <v>127</v>
      </c>
      <c r="E67" s="16" t="s">
        <v>86</v>
      </c>
      <c r="F67" s="16" t="s">
        <v>87</v>
      </c>
      <c r="G67" s="26">
        <v>0</v>
      </c>
      <c r="H67" s="26">
        <v>0</v>
      </c>
      <c r="I67" s="26">
        <v>5020</v>
      </c>
      <c r="J67" s="26">
        <v>0</v>
      </c>
      <c r="K67" s="26"/>
    </row>
    <row r="68" spans="1:11" ht="15.75" x14ac:dyDescent="0.25">
      <c r="A68" s="15" t="s">
        <v>359</v>
      </c>
      <c r="B68" s="16" t="s">
        <v>55</v>
      </c>
      <c r="C68" s="16" t="s">
        <v>57</v>
      </c>
      <c r="D68" s="16" t="s">
        <v>360</v>
      </c>
      <c r="E68" s="16" t="s">
        <v>86</v>
      </c>
      <c r="F68" s="16" t="s">
        <v>87</v>
      </c>
      <c r="G68" s="26">
        <v>0</v>
      </c>
      <c r="H68" s="26">
        <v>0</v>
      </c>
      <c r="I68" s="26">
        <v>676860</v>
      </c>
      <c r="J68" s="26">
        <v>0</v>
      </c>
      <c r="K68" s="26"/>
    </row>
    <row r="69" spans="1:11" ht="15.75" x14ac:dyDescent="0.25">
      <c r="A69" s="15" t="s">
        <v>210</v>
      </c>
      <c r="B69" s="16" t="s">
        <v>55</v>
      </c>
      <c r="C69" s="16" t="s">
        <v>57</v>
      </c>
      <c r="D69" s="16" t="s">
        <v>128</v>
      </c>
      <c r="E69" s="16" t="s">
        <v>86</v>
      </c>
      <c r="F69" s="16" t="s">
        <v>87</v>
      </c>
      <c r="G69" s="26">
        <v>19000</v>
      </c>
      <c r="H69" s="26">
        <v>0</v>
      </c>
      <c r="I69" s="26">
        <v>0</v>
      </c>
      <c r="J69" s="26">
        <v>2027</v>
      </c>
      <c r="K69" s="26"/>
    </row>
    <row r="70" spans="1:11" ht="15.75" x14ac:dyDescent="0.25">
      <c r="A70" s="15" t="s">
        <v>309</v>
      </c>
      <c r="B70" s="16" t="s">
        <v>55</v>
      </c>
      <c r="C70" s="16" t="s">
        <v>57</v>
      </c>
      <c r="D70" s="16" t="s">
        <v>310</v>
      </c>
      <c r="E70" s="16" t="s">
        <v>86</v>
      </c>
      <c r="F70" s="16" t="s">
        <v>87</v>
      </c>
      <c r="G70" s="26">
        <v>0</v>
      </c>
      <c r="H70" s="26">
        <v>0</v>
      </c>
      <c r="I70" s="26">
        <v>280000</v>
      </c>
      <c r="J70" s="26">
        <v>0</v>
      </c>
      <c r="K70" s="26"/>
    </row>
    <row r="71" spans="1:11" ht="15.75" x14ac:dyDescent="0.25">
      <c r="A71" s="15" t="s">
        <v>211</v>
      </c>
      <c r="B71" s="16" t="s">
        <v>55</v>
      </c>
      <c r="C71" s="16" t="s">
        <v>57</v>
      </c>
      <c r="D71" s="16" t="s">
        <v>167</v>
      </c>
      <c r="E71" s="16" t="s">
        <v>86</v>
      </c>
      <c r="F71" s="16" t="s">
        <v>87</v>
      </c>
      <c r="G71" s="26">
        <v>4800</v>
      </c>
      <c r="H71" s="26">
        <v>0</v>
      </c>
      <c r="I71" s="26">
        <v>0</v>
      </c>
      <c r="J71" s="26">
        <v>512</v>
      </c>
      <c r="K71" s="26"/>
    </row>
    <row r="72" spans="1:11" ht="15.75" x14ac:dyDescent="0.25">
      <c r="A72" s="15" t="s">
        <v>311</v>
      </c>
      <c r="B72" s="16" t="s">
        <v>55</v>
      </c>
      <c r="C72" s="16" t="s">
        <v>56</v>
      </c>
      <c r="D72" s="16" t="s">
        <v>312</v>
      </c>
      <c r="E72" s="16" t="s">
        <v>86</v>
      </c>
      <c r="F72" s="16" t="s">
        <v>87</v>
      </c>
      <c r="G72" s="26">
        <v>0</v>
      </c>
      <c r="H72" s="26">
        <v>0</v>
      </c>
      <c r="I72" s="26">
        <v>4320</v>
      </c>
      <c r="J72" s="26">
        <v>0</v>
      </c>
      <c r="K72" s="26"/>
    </row>
    <row r="73" spans="1:11" ht="15.75" x14ac:dyDescent="0.25">
      <c r="A73" s="15" t="s">
        <v>361</v>
      </c>
      <c r="B73" s="16" t="s">
        <v>55</v>
      </c>
      <c r="C73" s="16" t="s">
        <v>57</v>
      </c>
      <c r="D73" s="16" t="s">
        <v>362</v>
      </c>
      <c r="E73" s="16" t="s">
        <v>86</v>
      </c>
      <c r="F73" s="16" t="s">
        <v>87</v>
      </c>
      <c r="G73" s="26">
        <v>20000</v>
      </c>
      <c r="H73" s="26">
        <v>0</v>
      </c>
      <c r="I73" s="26">
        <v>0</v>
      </c>
      <c r="J73" s="26">
        <v>2133</v>
      </c>
      <c r="K73" s="26"/>
    </row>
    <row r="74" spans="1:11" ht="15.75" x14ac:dyDescent="0.25">
      <c r="A74" s="15" t="s">
        <v>212</v>
      </c>
      <c r="B74" s="16" t="s">
        <v>55</v>
      </c>
      <c r="C74" s="16" t="s">
        <v>56</v>
      </c>
      <c r="D74" s="16" t="s">
        <v>129</v>
      </c>
      <c r="E74" s="16" t="s">
        <v>86</v>
      </c>
      <c r="F74" s="16" t="s">
        <v>87</v>
      </c>
      <c r="G74" s="26">
        <v>0</v>
      </c>
      <c r="H74" s="26">
        <v>0</v>
      </c>
      <c r="I74" s="26">
        <v>113252</v>
      </c>
      <c r="J74" s="26">
        <v>0</v>
      </c>
      <c r="K74" s="26"/>
    </row>
    <row r="75" spans="1:11" ht="15.75" x14ac:dyDescent="0.25">
      <c r="A75" s="15" t="s">
        <v>213</v>
      </c>
      <c r="B75" s="16" t="s">
        <v>55</v>
      </c>
      <c r="C75" s="16" t="s">
        <v>57</v>
      </c>
      <c r="D75" s="16" t="s">
        <v>130</v>
      </c>
      <c r="E75" s="16" t="s">
        <v>86</v>
      </c>
      <c r="F75" s="16" t="s">
        <v>87</v>
      </c>
      <c r="G75" s="26">
        <v>0</v>
      </c>
      <c r="H75" s="26">
        <v>0</v>
      </c>
      <c r="I75" s="26">
        <v>91240</v>
      </c>
      <c r="J75" s="26">
        <v>0</v>
      </c>
      <c r="K75" s="26"/>
    </row>
    <row r="76" spans="1:11" ht="15.75" x14ac:dyDescent="0.25">
      <c r="A76" s="15" t="s">
        <v>214</v>
      </c>
      <c r="B76" s="16" t="s">
        <v>55</v>
      </c>
      <c r="C76" s="16" t="s">
        <v>58</v>
      </c>
      <c r="D76" s="16" t="s">
        <v>131</v>
      </c>
      <c r="E76" s="16" t="s">
        <v>86</v>
      </c>
      <c r="F76" s="16" t="s">
        <v>87</v>
      </c>
      <c r="G76" s="26">
        <v>39178</v>
      </c>
      <c r="H76" s="26">
        <v>0</v>
      </c>
      <c r="I76" s="26">
        <v>0</v>
      </c>
      <c r="J76" s="26">
        <v>4180</v>
      </c>
      <c r="K76" s="26"/>
    </row>
    <row r="77" spans="1:11" ht="15.75" x14ac:dyDescent="0.25">
      <c r="A77" s="15" t="s">
        <v>215</v>
      </c>
      <c r="B77" s="16" t="s">
        <v>55</v>
      </c>
      <c r="C77" s="16" t="s">
        <v>57</v>
      </c>
      <c r="D77" s="16" t="s">
        <v>162</v>
      </c>
      <c r="E77" s="16" t="s">
        <v>86</v>
      </c>
      <c r="F77" s="16" t="s">
        <v>87</v>
      </c>
      <c r="G77" s="26">
        <v>0</v>
      </c>
      <c r="H77" s="26">
        <v>0</v>
      </c>
      <c r="I77" s="26">
        <v>63538</v>
      </c>
      <c r="J77" s="26">
        <v>0</v>
      </c>
      <c r="K77" s="26"/>
    </row>
    <row r="78" spans="1:11" ht="15.75" x14ac:dyDescent="0.25">
      <c r="A78" s="15" t="s">
        <v>216</v>
      </c>
      <c r="B78" s="16" t="s">
        <v>55</v>
      </c>
      <c r="C78" s="16" t="s">
        <v>56</v>
      </c>
      <c r="D78" s="16" t="s">
        <v>132</v>
      </c>
      <c r="E78" s="16" t="s">
        <v>86</v>
      </c>
      <c r="F78" s="16" t="s">
        <v>87</v>
      </c>
      <c r="G78" s="26">
        <v>25272</v>
      </c>
      <c r="H78" s="26">
        <v>0</v>
      </c>
      <c r="I78" s="26">
        <v>0</v>
      </c>
      <c r="J78" s="26">
        <v>0</v>
      </c>
      <c r="K78" s="26"/>
    </row>
    <row r="79" spans="1:11" ht="15.75" x14ac:dyDescent="0.25">
      <c r="A79" s="15" t="s">
        <v>313</v>
      </c>
      <c r="B79" s="16" t="s">
        <v>55</v>
      </c>
      <c r="C79" s="16" t="s">
        <v>56</v>
      </c>
      <c r="D79" s="16" t="s">
        <v>314</v>
      </c>
      <c r="E79" s="16" t="s">
        <v>86</v>
      </c>
      <c r="F79" s="16" t="s">
        <v>87</v>
      </c>
      <c r="G79" s="26">
        <v>280000</v>
      </c>
      <c r="H79" s="26">
        <v>0</v>
      </c>
      <c r="I79" s="26">
        <v>0</v>
      </c>
      <c r="J79" s="26">
        <v>29867</v>
      </c>
      <c r="K79" s="26"/>
    </row>
    <row r="80" spans="1:11" ht="15.75" x14ac:dyDescent="0.25">
      <c r="A80" s="15" t="s">
        <v>363</v>
      </c>
      <c r="B80" s="16" t="s">
        <v>55</v>
      </c>
      <c r="C80" s="16" t="s">
        <v>57</v>
      </c>
      <c r="D80" s="16" t="s">
        <v>364</v>
      </c>
      <c r="E80" s="16" t="s">
        <v>86</v>
      </c>
      <c r="F80" s="16" t="s">
        <v>87</v>
      </c>
      <c r="G80" s="26">
        <v>0</v>
      </c>
      <c r="H80" s="26">
        <v>0</v>
      </c>
      <c r="I80" s="26">
        <v>6059</v>
      </c>
      <c r="J80" s="26">
        <v>0</v>
      </c>
      <c r="K80" s="26"/>
    </row>
    <row r="81" spans="1:11" ht="15.75" x14ac:dyDescent="0.25">
      <c r="A81" s="15" t="s">
        <v>217</v>
      </c>
      <c r="B81" s="16" t="s">
        <v>55</v>
      </c>
      <c r="C81" s="16" t="s">
        <v>56</v>
      </c>
      <c r="D81" s="16" t="s">
        <v>161</v>
      </c>
      <c r="E81" s="16" t="s">
        <v>86</v>
      </c>
      <c r="F81" s="16" t="s">
        <v>87</v>
      </c>
      <c r="G81" s="26">
        <v>85063</v>
      </c>
      <c r="H81" s="26">
        <v>0</v>
      </c>
      <c r="I81" s="26">
        <v>0</v>
      </c>
      <c r="J81" s="26">
        <v>0</v>
      </c>
      <c r="K81" s="26"/>
    </row>
    <row r="82" spans="1:11" ht="15.75" x14ac:dyDescent="0.25">
      <c r="A82" s="15" t="s">
        <v>100</v>
      </c>
      <c r="B82" s="16" t="s">
        <v>55</v>
      </c>
      <c r="C82" s="16" t="s">
        <v>56</v>
      </c>
      <c r="D82" s="16" t="s">
        <v>74</v>
      </c>
      <c r="E82" s="16" t="s">
        <v>86</v>
      </c>
      <c r="F82" s="16" t="s">
        <v>87</v>
      </c>
      <c r="G82" s="26">
        <v>0</v>
      </c>
      <c r="H82" s="26">
        <v>4091811</v>
      </c>
      <c r="I82" s="26">
        <v>0</v>
      </c>
      <c r="J82" s="26">
        <v>0</v>
      </c>
      <c r="K82" s="26"/>
    </row>
    <row r="83" spans="1:11" ht="15.75" x14ac:dyDescent="0.25">
      <c r="A83" s="15" t="s">
        <v>218</v>
      </c>
      <c r="B83" s="16" t="s">
        <v>55</v>
      </c>
      <c r="C83" s="16" t="s">
        <v>57</v>
      </c>
      <c r="D83" s="16" t="s">
        <v>133</v>
      </c>
      <c r="E83" s="16" t="s">
        <v>86</v>
      </c>
      <c r="F83" s="16" t="s">
        <v>87</v>
      </c>
      <c r="G83" s="26">
        <v>75000</v>
      </c>
      <c r="H83" s="26">
        <v>0</v>
      </c>
      <c r="I83" s="26">
        <v>0</v>
      </c>
      <c r="J83" s="26">
        <v>8000</v>
      </c>
      <c r="K83" s="26"/>
    </row>
    <row r="84" spans="1:11" ht="15.75" x14ac:dyDescent="0.25">
      <c r="A84" s="15" t="s">
        <v>219</v>
      </c>
      <c r="B84" s="16" t="s">
        <v>55</v>
      </c>
      <c r="C84" s="16" t="s">
        <v>57</v>
      </c>
      <c r="D84" s="16" t="s">
        <v>172</v>
      </c>
      <c r="E84" s="16" t="s">
        <v>86</v>
      </c>
      <c r="F84" s="16" t="s">
        <v>87</v>
      </c>
      <c r="G84" s="26">
        <v>19215</v>
      </c>
      <c r="H84" s="26">
        <v>0</v>
      </c>
      <c r="I84" s="26">
        <v>0</v>
      </c>
      <c r="J84" s="26">
        <v>2050</v>
      </c>
      <c r="K84" s="26"/>
    </row>
    <row r="85" spans="1:11" ht="15.75" x14ac:dyDescent="0.25">
      <c r="A85" s="15" t="s">
        <v>220</v>
      </c>
      <c r="B85" s="16" t="s">
        <v>55</v>
      </c>
      <c r="C85" s="16" t="s">
        <v>57</v>
      </c>
      <c r="D85" s="16" t="s">
        <v>221</v>
      </c>
      <c r="E85" s="16" t="s">
        <v>86</v>
      </c>
      <c r="F85" s="16" t="s">
        <v>87</v>
      </c>
      <c r="G85" s="26">
        <v>0</v>
      </c>
      <c r="H85" s="26">
        <v>0</v>
      </c>
      <c r="I85" s="26">
        <v>10622</v>
      </c>
      <c r="J85" s="26">
        <v>0</v>
      </c>
      <c r="K85" s="26"/>
    </row>
    <row r="86" spans="1:11" ht="15.75" x14ac:dyDescent="0.25">
      <c r="A86" s="15" t="s">
        <v>134</v>
      </c>
      <c r="B86" s="16" t="s">
        <v>55</v>
      </c>
      <c r="C86" s="16" t="s">
        <v>56</v>
      </c>
      <c r="D86" s="16" t="s">
        <v>135</v>
      </c>
      <c r="E86" s="16" t="s">
        <v>86</v>
      </c>
      <c r="F86" s="16" t="s">
        <v>87</v>
      </c>
      <c r="G86" s="26">
        <v>4652</v>
      </c>
      <c r="H86" s="26">
        <v>0</v>
      </c>
      <c r="I86" s="26">
        <v>0</v>
      </c>
      <c r="J86" s="26">
        <v>0</v>
      </c>
      <c r="K86" s="26"/>
    </row>
    <row r="87" spans="1:11" ht="15.75" x14ac:dyDescent="0.25">
      <c r="A87" s="15" t="s">
        <v>222</v>
      </c>
      <c r="B87" s="16" t="s">
        <v>55</v>
      </c>
      <c r="C87" s="16" t="s">
        <v>57</v>
      </c>
      <c r="D87" s="16" t="s">
        <v>136</v>
      </c>
      <c r="E87" s="16" t="s">
        <v>86</v>
      </c>
      <c r="F87" s="16" t="s">
        <v>87</v>
      </c>
      <c r="G87" s="26">
        <v>20000</v>
      </c>
      <c r="H87" s="26">
        <v>0</v>
      </c>
      <c r="I87" s="26">
        <v>0</v>
      </c>
      <c r="J87" s="26">
        <v>2133</v>
      </c>
      <c r="K87" s="26"/>
    </row>
    <row r="88" spans="1:11" ht="15.75" x14ac:dyDescent="0.25">
      <c r="A88" s="15" t="s">
        <v>223</v>
      </c>
      <c r="B88" s="16" t="s">
        <v>55</v>
      </c>
      <c r="C88" s="16" t="s">
        <v>57</v>
      </c>
      <c r="D88" s="16" t="s">
        <v>137</v>
      </c>
      <c r="E88" s="16" t="s">
        <v>86</v>
      </c>
      <c r="F88" s="16" t="s">
        <v>87</v>
      </c>
      <c r="G88" s="26">
        <v>11250</v>
      </c>
      <c r="H88" s="26">
        <v>0</v>
      </c>
      <c r="I88" s="26">
        <v>0</v>
      </c>
      <c r="J88" s="26">
        <v>1200</v>
      </c>
      <c r="K88" s="26"/>
    </row>
    <row r="89" spans="1:11" ht="15.75" x14ac:dyDescent="0.25">
      <c r="A89" s="15" t="s">
        <v>365</v>
      </c>
      <c r="B89" s="16" t="s">
        <v>55</v>
      </c>
      <c r="C89" s="16" t="s">
        <v>56</v>
      </c>
      <c r="D89" s="16" t="s">
        <v>366</v>
      </c>
      <c r="E89" s="16" t="s">
        <v>86</v>
      </c>
      <c r="F89" s="16" t="s">
        <v>87</v>
      </c>
      <c r="G89" s="26">
        <v>0</v>
      </c>
      <c r="H89" s="26">
        <v>35600</v>
      </c>
      <c r="I89" s="26">
        <v>0</v>
      </c>
      <c r="J89" s="26">
        <v>0</v>
      </c>
      <c r="K89" s="26"/>
    </row>
    <row r="90" spans="1:11" ht="15.75" x14ac:dyDescent="0.25">
      <c r="A90" s="15" t="s">
        <v>224</v>
      </c>
      <c r="B90" s="16" t="s">
        <v>55</v>
      </c>
      <c r="C90" s="16" t="s">
        <v>56</v>
      </c>
      <c r="D90" s="16" t="s">
        <v>164</v>
      </c>
      <c r="E90" s="16" t="s">
        <v>86</v>
      </c>
      <c r="F90" s="16" t="s">
        <v>87</v>
      </c>
      <c r="G90" s="26">
        <v>21434</v>
      </c>
      <c r="H90" s="26">
        <v>0</v>
      </c>
      <c r="I90" s="26">
        <v>0</v>
      </c>
      <c r="J90" s="26">
        <v>0</v>
      </c>
      <c r="K90" s="26"/>
    </row>
    <row r="91" spans="1:11" ht="15.75" x14ac:dyDescent="0.25">
      <c r="A91" s="15" t="s">
        <v>315</v>
      </c>
      <c r="B91" s="16" t="s">
        <v>55</v>
      </c>
      <c r="C91" s="16" t="s">
        <v>56</v>
      </c>
      <c r="D91" s="16" t="s">
        <v>316</v>
      </c>
      <c r="E91" s="16" t="s">
        <v>86</v>
      </c>
      <c r="F91" s="16" t="s">
        <v>87</v>
      </c>
      <c r="G91" s="26">
        <v>0</v>
      </c>
      <c r="H91" s="26">
        <v>0</v>
      </c>
      <c r="I91" s="26">
        <v>0</v>
      </c>
      <c r="J91" s="26">
        <v>0</v>
      </c>
      <c r="K91" s="26"/>
    </row>
    <row r="92" spans="1:11" ht="15.75" x14ac:dyDescent="0.25">
      <c r="A92" s="15" t="s">
        <v>367</v>
      </c>
      <c r="B92" s="16" t="s">
        <v>55</v>
      </c>
      <c r="C92" s="16" t="s">
        <v>56</v>
      </c>
      <c r="D92" s="16" t="s">
        <v>368</v>
      </c>
      <c r="E92" s="16" t="s">
        <v>86</v>
      </c>
      <c r="F92" s="16" t="s">
        <v>87</v>
      </c>
      <c r="G92" s="26">
        <v>0</v>
      </c>
      <c r="H92" s="26">
        <v>0</v>
      </c>
      <c r="I92" s="26">
        <v>0</v>
      </c>
      <c r="J92" s="26">
        <v>0</v>
      </c>
      <c r="K92" s="26"/>
    </row>
    <row r="93" spans="1:11" ht="15.75" x14ac:dyDescent="0.25">
      <c r="A93" s="15" t="s">
        <v>225</v>
      </c>
      <c r="B93" s="16" t="s">
        <v>55</v>
      </c>
      <c r="C93" s="16" t="s">
        <v>58</v>
      </c>
      <c r="D93" s="16" t="s">
        <v>138</v>
      </c>
      <c r="E93" s="16" t="s">
        <v>86</v>
      </c>
      <c r="F93" s="16" t="s">
        <v>87</v>
      </c>
      <c r="G93" s="26">
        <v>3032</v>
      </c>
      <c r="H93" s="26">
        <v>0</v>
      </c>
      <c r="I93" s="26">
        <v>0</v>
      </c>
      <c r="J93" s="26">
        <v>0</v>
      </c>
      <c r="K93" s="26"/>
    </row>
    <row r="94" spans="1:11" ht="15.75" x14ac:dyDescent="0.25">
      <c r="A94" s="15" t="s">
        <v>369</v>
      </c>
      <c r="B94" s="16" t="s">
        <v>55</v>
      </c>
      <c r="C94" s="16" t="s">
        <v>56</v>
      </c>
      <c r="D94" s="16" t="s">
        <v>370</v>
      </c>
      <c r="E94" s="16" t="s">
        <v>86</v>
      </c>
      <c r="F94" s="16" t="s">
        <v>87</v>
      </c>
      <c r="G94" s="26">
        <v>3364</v>
      </c>
      <c r="H94" s="26">
        <v>0</v>
      </c>
      <c r="I94" s="26">
        <v>0</v>
      </c>
      <c r="J94" s="26">
        <v>0</v>
      </c>
      <c r="K94" s="26"/>
    </row>
    <row r="95" spans="1:11" ht="15.75" x14ac:dyDescent="0.25">
      <c r="A95" s="15" t="s">
        <v>270</v>
      </c>
      <c r="B95" s="16" t="s">
        <v>55</v>
      </c>
      <c r="C95" s="16" t="s">
        <v>56</v>
      </c>
      <c r="D95" s="16" t="s">
        <v>271</v>
      </c>
      <c r="E95" s="16" t="s">
        <v>86</v>
      </c>
      <c r="F95" s="16" t="s">
        <v>87</v>
      </c>
      <c r="G95" s="26">
        <v>397</v>
      </c>
      <c r="H95" s="26">
        <v>0</v>
      </c>
      <c r="I95" s="26">
        <v>0</v>
      </c>
      <c r="J95" s="26">
        <v>0</v>
      </c>
      <c r="K95" s="26"/>
    </row>
    <row r="96" spans="1:11" ht="15.75" x14ac:dyDescent="0.25">
      <c r="A96" s="15" t="s">
        <v>226</v>
      </c>
      <c r="B96" s="16" t="s">
        <v>55</v>
      </c>
      <c r="C96" s="16" t="s">
        <v>56</v>
      </c>
      <c r="D96" s="16" t="s">
        <v>139</v>
      </c>
      <c r="E96" s="16" t="s">
        <v>86</v>
      </c>
      <c r="F96" s="16" t="s">
        <v>87</v>
      </c>
      <c r="G96" s="26">
        <v>3845</v>
      </c>
      <c r="H96" s="26">
        <v>0</v>
      </c>
      <c r="I96" s="26">
        <v>0</v>
      </c>
      <c r="J96" s="26">
        <v>0</v>
      </c>
      <c r="K96" s="26"/>
    </row>
    <row r="97" spans="1:11" ht="15.75" x14ac:dyDescent="0.25">
      <c r="A97" s="15" t="s">
        <v>140</v>
      </c>
      <c r="B97" s="16" t="s">
        <v>55</v>
      </c>
      <c r="C97" s="16" t="s">
        <v>56</v>
      </c>
      <c r="D97" s="16" t="s">
        <v>141</v>
      </c>
      <c r="E97" s="16" t="s">
        <v>86</v>
      </c>
      <c r="F97" s="16" t="s">
        <v>87</v>
      </c>
      <c r="G97" s="26">
        <v>28000</v>
      </c>
      <c r="H97" s="26">
        <v>0</v>
      </c>
      <c r="I97" s="26">
        <v>0</v>
      </c>
      <c r="J97" s="26">
        <v>0</v>
      </c>
      <c r="K97" s="26"/>
    </row>
    <row r="98" spans="1:11" ht="15.75" x14ac:dyDescent="0.25">
      <c r="A98" s="15" t="s">
        <v>227</v>
      </c>
      <c r="B98" s="16" t="s">
        <v>55</v>
      </c>
      <c r="C98" s="16" t="s">
        <v>56</v>
      </c>
      <c r="D98" s="16" t="s">
        <v>142</v>
      </c>
      <c r="E98" s="16" t="s">
        <v>86</v>
      </c>
      <c r="F98" s="16" t="s">
        <v>87</v>
      </c>
      <c r="G98" s="26">
        <v>50513</v>
      </c>
      <c r="H98" s="26">
        <v>0</v>
      </c>
      <c r="I98" s="26">
        <v>0</v>
      </c>
      <c r="J98" s="26">
        <v>0</v>
      </c>
      <c r="K98" s="26"/>
    </row>
    <row r="99" spans="1:11" ht="15.75" x14ac:dyDescent="0.25">
      <c r="A99" s="15" t="s">
        <v>228</v>
      </c>
      <c r="B99" s="16" t="s">
        <v>55</v>
      </c>
      <c r="C99" s="16" t="s">
        <v>56</v>
      </c>
      <c r="D99" s="16" t="s">
        <v>143</v>
      </c>
      <c r="E99" s="16" t="s">
        <v>86</v>
      </c>
      <c r="F99" s="16" t="s">
        <v>87</v>
      </c>
      <c r="G99" s="26">
        <v>0</v>
      </c>
      <c r="H99" s="26">
        <v>71384</v>
      </c>
      <c r="I99" s="26">
        <v>0</v>
      </c>
      <c r="J99" s="26">
        <v>0</v>
      </c>
      <c r="K99" s="26"/>
    </row>
    <row r="100" spans="1:11" ht="15.75" x14ac:dyDescent="0.25">
      <c r="A100" s="15" t="s">
        <v>229</v>
      </c>
      <c r="B100" s="16" t="s">
        <v>55</v>
      </c>
      <c r="C100" s="16" t="s">
        <v>56</v>
      </c>
      <c r="D100" s="16" t="s">
        <v>144</v>
      </c>
      <c r="E100" s="16" t="s">
        <v>86</v>
      </c>
      <c r="F100" s="16" t="s">
        <v>87</v>
      </c>
      <c r="G100" s="26">
        <v>6847</v>
      </c>
      <c r="H100" s="26">
        <v>0</v>
      </c>
      <c r="I100" s="26">
        <v>0</v>
      </c>
      <c r="J100" s="26">
        <v>0</v>
      </c>
      <c r="K100" s="26"/>
    </row>
    <row r="101" spans="1:11" ht="15.75" x14ac:dyDescent="0.25">
      <c r="A101" s="15" t="s">
        <v>371</v>
      </c>
      <c r="B101" s="16" t="s">
        <v>55</v>
      </c>
      <c r="C101" s="16" t="s">
        <v>56</v>
      </c>
      <c r="D101" s="16" t="s">
        <v>372</v>
      </c>
      <c r="E101" s="16" t="s">
        <v>86</v>
      </c>
      <c r="F101" s="16" t="s">
        <v>87</v>
      </c>
      <c r="G101" s="26">
        <v>4466</v>
      </c>
      <c r="H101" s="26">
        <v>0</v>
      </c>
      <c r="I101" s="26">
        <v>0</v>
      </c>
      <c r="J101" s="26">
        <v>0</v>
      </c>
      <c r="K101" s="26"/>
    </row>
    <row r="102" spans="1:11" ht="15.75" x14ac:dyDescent="0.25">
      <c r="A102" s="15" t="s">
        <v>272</v>
      </c>
      <c r="B102" s="16" t="s">
        <v>55</v>
      </c>
      <c r="C102" s="16" t="s">
        <v>56</v>
      </c>
      <c r="D102" s="16" t="s">
        <v>273</v>
      </c>
      <c r="E102" s="16" t="s">
        <v>86</v>
      </c>
      <c r="F102" s="16" t="s">
        <v>87</v>
      </c>
      <c r="G102" s="26">
        <v>970</v>
      </c>
      <c r="H102" s="26">
        <v>0</v>
      </c>
      <c r="I102" s="26">
        <v>0</v>
      </c>
      <c r="J102" s="26">
        <v>0</v>
      </c>
      <c r="K102" s="26"/>
    </row>
    <row r="103" spans="1:11" ht="15.75" x14ac:dyDescent="0.25">
      <c r="A103" s="15" t="s">
        <v>373</v>
      </c>
      <c r="B103" s="16" t="s">
        <v>55</v>
      </c>
      <c r="C103" s="16" t="s">
        <v>57</v>
      </c>
      <c r="D103" s="16" t="s">
        <v>374</v>
      </c>
      <c r="E103" s="16" t="s">
        <v>86</v>
      </c>
      <c r="F103" s="16" t="s">
        <v>87</v>
      </c>
      <c r="G103" s="26">
        <v>0</v>
      </c>
      <c r="H103" s="26">
        <v>0</v>
      </c>
      <c r="I103" s="26">
        <v>4072</v>
      </c>
      <c r="J103" s="26">
        <v>0</v>
      </c>
      <c r="K103" s="26"/>
    </row>
    <row r="104" spans="1:11" ht="15.75" x14ac:dyDescent="0.25">
      <c r="A104" s="15" t="s">
        <v>102</v>
      </c>
      <c r="B104" s="16" t="s">
        <v>55</v>
      </c>
      <c r="C104" s="16" t="s">
        <v>56</v>
      </c>
      <c r="D104" s="16" t="s">
        <v>76</v>
      </c>
      <c r="E104" s="16" t="s">
        <v>86</v>
      </c>
      <c r="F104" s="16" t="s">
        <v>87</v>
      </c>
      <c r="G104" s="26">
        <v>8482</v>
      </c>
      <c r="H104" s="26">
        <v>4790</v>
      </c>
      <c r="I104" s="26">
        <v>0</v>
      </c>
      <c r="J104" s="26">
        <v>0</v>
      </c>
      <c r="K104" s="26"/>
    </row>
    <row r="105" spans="1:11" ht="15.75" x14ac:dyDescent="0.25">
      <c r="A105" s="15" t="s">
        <v>317</v>
      </c>
      <c r="B105" s="16" t="s">
        <v>55</v>
      </c>
      <c r="C105" s="16" t="s">
        <v>57</v>
      </c>
      <c r="D105" s="16" t="s">
        <v>318</v>
      </c>
      <c r="E105" s="16" t="s">
        <v>86</v>
      </c>
      <c r="F105" s="16" t="s">
        <v>87</v>
      </c>
      <c r="G105" s="26">
        <v>0</v>
      </c>
      <c r="H105" s="26">
        <v>0</v>
      </c>
      <c r="I105" s="26">
        <v>1898</v>
      </c>
      <c r="J105" s="26">
        <v>0</v>
      </c>
      <c r="K105" s="26"/>
    </row>
    <row r="106" spans="1:11" ht="15.75" x14ac:dyDescent="0.25">
      <c r="A106" s="15" t="s">
        <v>319</v>
      </c>
      <c r="B106" s="16" t="s">
        <v>55</v>
      </c>
      <c r="C106" s="16" t="s">
        <v>57</v>
      </c>
      <c r="D106" s="16" t="s">
        <v>320</v>
      </c>
      <c r="E106" s="16" t="s">
        <v>86</v>
      </c>
      <c r="F106" s="16" t="s">
        <v>87</v>
      </c>
      <c r="G106" s="26">
        <v>0</v>
      </c>
      <c r="H106" s="26">
        <v>0</v>
      </c>
      <c r="I106" s="26">
        <v>12205</v>
      </c>
      <c r="J106" s="26">
        <v>0</v>
      </c>
      <c r="K106" s="26"/>
    </row>
    <row r="107" spans="1:11" ht="15.75" x14ac:dyDescent="0.25">
      <c r="A107" s="15" t="s">
        <v>230</v>
      </c>
      <c r="B107" s="16" t="s">
        <v>55</v>
      </c>
      <c r="C107" s="16" t="s">
        <v>56</v>
      </c>
      <c r="D107" s="16" t="s">
        <v>145</v>
      </c>
      <c r="E107" s="16" t="s">
        <v>86</v>
      </c>
      <c r="F107" s="16" t="s">
        <v>87</v>
      </c>
      <c r="G107" s="26">
        <v>9747</v>
      </c>
      <c r="H107" s="26">
        <v>0</v>
      </c>
      <c r="I107" s="26">
        <v>0</v>
      </c>
      <c r="J107" s="26">
        <v>0</v>
      </c>
      <c r="K107" s="26"/>
    </row>
    <row r="108" spans="1:11" ht="15.75" x14ac:dyDescent="0.25">
      <c r="A108" s="15" t="s">
        <v>375</v>
      </c>
      <c r="B108" s="16" t="s">
        <v>55</v>
      </c>
      <c r="C108" s="16" t="s">
        <v>56</v>
      </c>
      <c r="D108" s="16" t="s">
        <v>376</v>
      </c>
      <c r="E108" s="16" t="s">
        <v>86</v>
      </c>
      <c r="F108" s="16" t="s">
        <v>87</v>
      </c>
      <c r="G108" s="26">
        <v>0</v>
      </c>
      <c r="H108" s="26">
        <v>0</v>
      </c>
      <c r="I108" s="26">
        <v>70000</v>
      </c>
      <c r="J108" s="26">
        <v>0</v>
      </c>
      <c r="K108" s="26"/>
    </row>
    <row r="109" spans="1:11" ht="15.75" x14ac:dyDescent="0.25">
      <c r="A109" s="15" t="s">
        <v>377</v>
      </c>
      <c r="B109" s="16" t="s">
        <v>55</v>
      </c>
      <c r="C109" s="16" t="s">
        <v>56</v>
      </c>
      <c r="D109" s="16" t="s">
        <v>378</v>
      </c>
      <c r="E109" s="16" t="s">
        <v>86</v>
      </c>
      <c r="F109" s="16" t="s">
        <v>87</v>
      </c>
      <c r="G109" s="26">
        <v>1579</v>
      </c>
      <c r="H109" s="26">
        <v>0</v>
      </c>
      <c r="I109" s="26">
        <v>0</v>
      </c>
      <c r="J109" s="26">
        <v>0</v>
      </c>
      <c r="K109" s="26"/>
    </row>
    <row r="110" spans="1:11" ht="15.75" x14ac:dyDescent="0.25">
      <c r="A110" s="15" t="s">
        <v>231</v>
      </c>
      <c r="B110" s="16" t="s">
        <v>55</v>
      </c>
      <c r="C110" s="16" t="s">
        <v>56</v>
      </c>
      <c r="D110" s="16" t="s">
        <v>146</v>
      </c>
      <c r="E110" s="16" t="s">
        <v>86</v>
      </c>
      <c r="F110" s="16" t="s">
        <v>87</v>
      </c>
      <c r="G110" s="26">
        <v>0</v>
      </c>
      <c r="H110" s="26">
        <v>6272</v>
      </c>
      <c r="I110" s="26">
        <v>0</v>
      </c>
      <c r="J110" s="26">
        <v>0</v>
      </c>
      <c r="K110" s="26"/>
    </row>
    <row r="111" spans="1:11" ht="15.75" x14ac:dyDescent="0.25">
      <c r="A111" s="15" t="s">
        <v>232</v>
      </c>
      <c r="B111" s="16" t="s">
        <v>55</v>
      </c>
      <c r="C111" s="16" t="s">
        <v>56</v>
      </c>
      <c r="D111" s="16" t="s">
        <v>177</v>
      </c>
      <c r="E111" s="16" t="s">
        <v>86</v>
      </c>
      <c r="F111" s="16" t="s">
        <v>87</v>
      </c>
      <c r="G111" s="26">
        <v>0</v>
      </c>
      <c r="H111" s="26">
        <v>22050</v>
      </c>
      <c r="I111" s="26">
        <v>0</v>
      </c>
      <c r="J111" s="26">
        <v>0</v>
      </c>
      <c r="K111" s="26"/>
    </row>
    <row r="112" spans="1:11" ht="15.75" x14ac:dyDescent="0.25">
      <c r="A112" s="15" t="s">
        <v>233</v>
      </c>
      <c r="B112" s="16" t="s">
        <v>55</v>
      </c>
      <c r="C112" s="16" t="s">
        <v>56</v>
      </c>
      <c r="D112" s="16" t="s">
        <v>147</v>
      </c>
      <c r="E112" s="16" t="s">
        <v>86</v>
      </c>
      <c r="F112" s="16" t="s">
        <v>87</v>
      </c>
      <c r="G112" s="26">
        <v>10748</v>
      </c>
      <c r="H112" s="26">
        <v>0</v>
      </c>
      <c r="I112" s="26">
        <v>0</v>
      </c>
      <c r="J112" s="26">
        <v>0</v>
      </c>
      <c r="K112" s="26"/>
    </row>
    <row r="113" spans="1:11" ht="15.75" x14ac:dyDescent="0.25">
      <c r="A113" s="15" t="s">
        <v>379</v>
      </c>
      <c r="B113" s="16" t="s">
        <v>55</v>
      </c>
      <c r="C113" s="16" t="s">
        <v>56</v>
      </c>
      <c r="D113" s="16" t="s">
        <v>380</v>
      </c>
      <c r="E113" s="16" t="s">
        <v>86</v>
      </c>
      <c r="F113" s="16" t="s">
        <v>87</v>
      </c>
      <c r="G113" s="26">
        <v>862</v>
      </c>
      <c r="H113" s="26">
        <v>0</v>
      </c>
      <c r="I113" s="26">
        <v>0</v>
      </c>
      <c r="J113" s="26">
        <v>0</v>
      </c>
      <c r="K113" s="26"/>
    </row>
    <row r="114" spans="1:11" ht="15.75" x14ac:dyDescent="0.25">
      <c r="A114" s="15" t="s">
        <v>381</v>
      </c>
      <c r="B114" s="16" t="s">
        <v>55</v>
      </c>
      <c r="C114" s="16" t="s">
        <v>56</v>
      </c>
      <c r="D114" s="16" t="s">
        <v>382</v>
      </c>
      <c r="E114" s="16" t="s">
        <v>86</v>
      </c>
      <c r="F114" s="16" t="s">
        <v>87</v>
      </c>
      <c r="G114" s="26">
        <v>12380</v>
      </c>
      <c r="H114" s="26">
        <v>0</v>
      </c>
      <c r="I114" s="26">
        <v>0</v>
      </c>
      <c r="J114" s="26">
        <v>0</v>
      </c>
      <c r="K114" s="26"/>
    </row>
    <row r="115" spans="1:11" ht="15.75" x14ac:dyDescent="0.25">
      <c r="A115" s="15" t="s">
        <v>234</v>
      </c>
      <c r="B115" s="16" t="s">
        <v>55</v>
      </c>
      <c r="C115" s="16" t="s">
        <v>58</v>
      </c>
      <c r="D115" s="16" t="s">
        <v>148</v>
      </c>
      <c r="E115" s="16" t="s">
        <v>86</v>
      </c>
      <c r="F115" s="16" t="s">
        <v>87</v>
      </c>
      <c r="G115" s="26">
        <v>402457</v>
      </c>
      <c r="H115" s="26">
        <v>0</v>
      </c>
      <c r="I115" s="26">
        <v>0</v>
      </c>
      <c r="J115" s="26">
        <v>0</v>
      </c>
      <c r="K115" s="26"/>
    </row>
    <row r="116" spans="1:11" ht="15.75" x14ac:dyDescent="0.25">
      <c r="A116" s="15" t="s">
        <v>321</v>
      </c>
      <c r="B116" s="16" t="s">
        <v>55</v>
      </c>
      <c r="C116" s="16" t="s">
        <v>57</v>
      </c>
      <c r="D116" s="16" t="s">
        <v>322</v>
      </c>
      <c r="E116" s="16" t="s">
        <v>86</v>
      </c>
      <c r="F116" s="16" t="s">
        <v>87</v>
      </c>
      <c r="G116" s="26">
        <v>175000</v>
      </c>
      <c r="H116" s="26">
        <v>0</v>
      </c>
      <c r="I116" s="26">
        <v>0</v>
      </c>
      <c r="J116" s="26">
        <v>18667</v>
      </c>
      <c r="K116" s="26"/>
    </row>
    <row r="117" spans="1:11" ht="15.75" x14ac:dyDescent="0.25">
      <c r="A117" s="15" t="s">
        <v>235</v>
      </c>
      <c r="B117" s="16" t="s">
        <v>55</v>
      </c>
      <c r="C117" s="16" t="s">
        <v>56</v>
      </c>
      <c r="D117" s="16" t="s">
        <v>149</v>
      </c>
      <c r="E117" s="16" t="s">
        <v>86</v>
      </c>
      <c r="F117" s="16" t="s">
        <v>87</v>
      </c>
      <c r="G117" s="26">
        <v>2646</v>
      </c>
      <c r="H117" s="26">
        <v>0</v>
      </c>
      <c r="I117" s="26">
        <v>0</v>
      </c>
      <c r="J117" s="26">
        <v>0</v>
      </c>
      <c r="K117" s="26"/>
    </row>
    <row r="118" spans="1:11" ht="15.75" x14ac:dyDescent="0.25">
      <c r="A118" s="15" t="s">
        <v>236</v>
      </c>
      <c r="B118" s="16" t="s">
        <v>55</v>
      </c>
      <c r="C118" s="16" t="s">
        <v>56</v>
      </c>
      <c r="D118" s="16" t="s">
        <v>78</v>
      </c>
      <c r="E118" s="16" t="s">
        <v>86</v>
      </c>
      <c r="F118" s="16" t="s">
        <v>87</v>
      </c>
      <c r="G118" s="26">
        <v>0</v>
      </c>
      <c r="H118" s="26">
        <v>1644065</v>
      </c>
      <c r="I118" s="26">
        <v>0</v>
      </c>
      <c r="J118" s="26">
        <v>0</v>
      </c>
      <c r="K118" s="26"/>
    </row>
    <row r="119" spans="1:11" ht="15.75" x14ac:dyDescent="0.25">
      <c r="A119" s="15" t="s">
        <v>383</v>
      </c>
      <c r="B119" s="16" t="s">
        <v>55</v>
      </c>
      <c r="C119" s="16" t="s">
        <v>57</v>
      </c>
      <c r="D119" s="16" t="s">
        <v>384</v>
      </c>
      <c r="E119" s="16" t="s">
        <v>86</v>
      </c>
      <c r="F119" s="16" t="s">
        <v>87</v>
      </c>
      <c r="G119" s="26">
        <v>0</v>
      </c>
      <c r="H119" s="26">
        <v>0</v>
      </c>
      <c r="I119" s="26">
        <v>725</v>
      </c>
      <c r="J119" s="26">
        <v>0</v>
      </c>
      <c r="K119" s="26"/>
    </row>
    <row r="120" spans="1:11" ht="15.75" x14ac:dyDescent="0.25">
      <c r="A120" s="15" t="s">
        <v>104</v>
      </c>
      <c r="B120" s="16" t="s">
        <v>55</v>
      </c>
      <c r="C120" s="16" t="s">
        <v>56</v>
      </c>
      <c r="D120" s="16" t="s">
        <v>79</v>
      </c>
      <c r="E120" s="16" t="s">
        <v>86</v>
      </c>
      <c r="F120" s="16" t="s">
        <v>87</v>
      </c>
      <c r="G120" s="26">
        <v>0</v>
      </c>
      <c r="H120" s="26">
        <v>30843</v>
      </c>
      <c r="I120" s="26">
        <v>31680</v>
      </c>
      <c r="J120" s="26">
        <v>0</v>
      </c>
      <c r="K120" s="26"/>
    </row>
    <row r="121" spans="1:11" ht="15.75" x14ac:dyDescent="0.25">
      <c r="A121" s="15" t="s">
        <v>237</v>
      </c>
      <c r="B121" s="16" t="s">
        <v>55</v>
      </c>
      <c r="C121" s="16" t="s">
        <v>56</v>
      </c>
      <c r="D121" s="16" t="s">
        <v>150</v>
      </c>
      <c r="E121" s="16" t="s">
        <v>86</v>
      </c>
      <c r="F121" s="16" t="s">
        <v>87</v>
      </c>
      <c r="G121" s="26">
        <v>0</v>
      </c>
      <c r="H121" s="26">
        <v>0</v>
      </c>
      <c r="I121" s="26">
        <v>42815</v>
      </c>
      <c r="J121" s="26">
        <v>0</v>
      </c>
      <c r="K121" s="26"/>
    </row>
    <row r="122" spans="1:11" ht="15.75" x14ac:dyDescent="0.25">
      <c r="A122" s="15" t="s">
        <v>238</v>
      </c>
      <c r="B122" s="16" t="s">
        <v>55</v>
      </c>
      <c r="C122" s="16" t="s">
        <v>56</v>
      </c>
      <c r="D122" s="16" t="s">
        <v>174</v>
      </c>
      <c r="E122" s="16" t="s">
        <v>86</v>
      </c>
      <c r="F122" s="16" t="s">
        <v>87</v>
      </c>
      <c r="G122" s="26">
        <v>2420</v>
      </c>
      <c r="H122" s="26">
        <v>0</v>
      </c>
      <c r="I122" s="26">
        <v>0</v>
      </c>
      <c r="J122" s="26">
        <v>0</v>
      </c>
      <c r="K122" s="26"/>
    </row>
    <row r="123" spans="1:11" ht="15.75" x14ac:dyDescent="0.25">
      <c r="A123" s="15" t="s">
        <v>168</v>
      </c>
      <c r="B123" s="16" t="s">
        <v>55</v>
      </c>
      <c r="C123" s="16" t="s">
        <v>56</v>
      </c>
      <c r="D123" s="16" t="s">
        <v>165</v>
      </c>
      <c r="E123" s="16" t="s">
        <v>86</v>
      </c>
      <c r="F123" s="16" t="s">
        <v>87</v>
      </c>
      <c r="G123" s="26">
        <v>0</v>
      </c>
      <c r="H123" s="26">
        <v>262005</v>
      </c>
      <c r="I123" s="26">
        <v>0</v>
      </c>
      <c r="J123" s="26">
        <v>0</v>
      </c>
      <c r="K123" s="26"/>
    </row>
    <row r="124" spans="1:11" ht="15.75" x14ac:dyDescent="0.25">
      <c r="A124" s="15" t="s">
        <v>239</v>
      </c>
      <c r="B124" s="16" t="s">
        <v>55</v>
      </c>
      <c r="C124" s="16" t="s">
        <v>56</v>
      </c>
      <c r="D124" s="16" t="s">
        <v>151</v>
      </c>
      <c r="E124" s="16" t="s">
        <v>86</v>
      </c>
      <c r="F124" s="16" t="s">
        <v>87</v>
      </c>
      <c r="G124" s="26">
        <v>1958</v>
      </c>
      <c r="H124" s="26">
        <v>0</v>
      </c>
      <c r="I124" s="26">
        <v>0</v>
      </c>
      <c r="J124" s="26">
        <v>0</v>
      </c>
      <c r="K124" s="26"/>
    </row>
    <row r="125" spans="1:11" ht="15.75" x14ac:dyDescent="0.25">
      <c r="A125" s="15" t="s">
        <v>240</v>
      </c>
      <c r="B125" s="16" t="s">
        <v>55</v>
      </c>
      <c r="C125" s="16" t="s">
        <v>56</v>
      </c>
      <c r="D125" s="16" t="s">
        <v>152</v>
      </c>
      <c r="E125" s="16" t="s">
        <v>86</v>
      </c>
      <c r="F125" s="16" t="s">
        <v>87</v>
      </c>
      <c r="G125" s="26">
        <v>1552</v>
      </c>
      <c r="H125" s="26">
        <v>0</v>
      </c>
      <c r="I125" s="26">
        <v>0</v>
      </c>
      <c r="J125" s="26">
        <v>0</v>
      </c>
      <c r="K125" s="26"/>
    </row>
    <row r="126" spans="1:11" ht="15.75" x14ac:dyDescent="0.25">
      <c r="A126" s="15" t="s">
        <v>153</v>
      </c>
      <c r="B126" s="16" t="s">
        <v>55</v>
      </c>
      <c r="C126" s="16" t="s">
        <v>56</v>
      </c>
      <c r="D126" s="16" t="s">
        <v>154</v>
      </c>
      <c r="E126" s="16" t="s">
        <v>86</v>
      </c>
      <c r="F126" s="16" t="s">
        <v>87</v>
      </c>
      <c r="G126" s="26">
        <v>7450</v>
      </c>
      <c r="H126" s="26">
        <v>0</v>
      </c>
      <c r="I126" s="26">
        <v>0</v>
      </c>
      <c r="J126" s="26">
        <v>0</v>
      </c>
      <c r="K126" s="26"/>
    </row>
    <row r="127" spans="1:11" ht="15.75" x14ac:dyDescent="0.25">
      <c r="A127" s="15" t="s">
        <v>385</v>
      </c>
      <c r="B127" s="16" t="s">
        <v>55</v>
      </c>
      <c r="C127" s="16" t="s">
        <v>57</v>
      </c>
      <c r="D127" s="16" t="s">
        <v>386</v>
      </c>
      <c r="E127" s="16" t="s">
        <v>86</v>
      </c>
      <c r="F127" s="16" t="s">
        <v>87</v>
      </c>
      <c r="G127" s="26">
        <v>0</v>
      </c>
      <c r="H127" s="26">
        <v>0</v>
      </c>
      <c r="I127" s="26">
        <v>1351</v>
      </c>
      <c r="J127" s="26">
        <v>0</v>
      </c>
      <c r="K127" s="26"/>
    </row>
    <row r="128" spans="1:11" ht="15.75" x14ac:dyDescent="0.25">
      <c r="A128" s="15" t="s">
        <v>241</v>
      </c>
      <c r="B128" s="16" t="s">
        <v>55</v>
      </c>
      <c r="C128" s="16" t="s">
        <v>56</v>
      </c>
      <c r="D128" s="16" t="s">
        <v>155</v>
      </c>
      <c r="E128" s="16" t="s">
        <v>86</v>
      </c>
      <c r="F128" s="16" t="s">
        <v>87</v>
      </c>
      <c r="G128" s="26">
        <v>6274</v>
      </c>
      <c r="H128" s="26">
        <v>0</v>
      </c>
      <c r="I128" s="26">
        <v>0</v>
      </c>
      <c r="J128" s="26">
        <v>0</v>
      </c>
      <c r="K128" s="26"/>
    </row>
    <row r="129" spans="1:11" ht="15.75" x14ac:dyDescent="0.25">
      <c r="A129" s="15" t="s">
        <v>242</v>
      </c>
      <c r="B129" s="16" t="s">
        <v>55</v>
      </c>
      <c r="C129" s="16" t="s">
        <v>56</v>
      </c>
      <c r="D129" s="16" t="s">
        <v>178</v>
      </c>
      <c r="E129" s="16" t="s">
        <v>86</v>
      </c>
      <c r="F129" s="16" t="s">
        <v>87</v>
      </c>
      <c r="G129" s="26">
        <v>10504</v>
      </c>
      <c r="H129" s="26">
        <v>0</v>
      </c>
      <c r="I129" s="26">
        <v>0</v>
      </c>
      <c r="J129" s="26">
        <v>0</v>
      </c>
      <c r="K129" s="26"/>
    </row>
    <row r="130" spans="1:11" ht="15.75" x14ac:dyDescent="0.25">
      <c r="A130" s="15" t="s">
        <v>243</v>
      </c>
      <c r="B130" s="16" t="s">
        <v>55</v>
      </c>
      <c r="C130" s="16" t="s">
        <v>56</v>
      </c>
      <c r="D130" s="16" t="s">
        <v>156</v>
      </c>
      <c r="E130" s="16" t="s">
        <v>86</v>
      </c>
      <c r="F130" s="16" t="s">
        <v>87</v>
      </c>
      <c r="G130" s="26">
        <v>344</v>
      </c>
      <c r="H130" s="26">
        <v>0</v>
      </c>
      <c r="I130" s="26">
        <v>0</v>
      </c>
      <c r="J130" s="26">
        <v>0</v>
      </c>
      <c r="K130" s="26"/>
    </row>
    <row r="131" spans="1:11" ht="15.75" x14ac:dyDescent="0.25">
      <c r="A131" s="15" t="s">
        <v>244</v>
      </c>
      <c r="B131" s="16" t="s">
        <v>55</v>
      </c>
      <c r="C131" s="16" t="s">
        <v>56</v>
      </c>
      <c r="D131" s="16" t="s">
        <v>245</v>
      </c>
      <c r="E131" s="16" t="s">
        <v>86</v>
      </c>
      <c r="F131" s="16" t="s">
        <v>87</v>
      </c>
      <c r="G131" s="26">
        <v>160</v>
      </c>
      <c r="H131" s="26">
        <v>0</v>
      </c>
      <c r="I131" s="26">
        <v>0</v>
      </c>
      <c r="J131" s="26">
        <v>0</v>
      </c>
      <c r="K131" s="26"/>
    </row>
    <row r="132" spans="1:11" ht="15.75" x14ac:dyDescent="0.25">
      <c r="A132" s="15" t="s">
        <v>246</v>
      </c>
      <c r="B132" s="16" t="s">
        <v>55</v>
      </c>
      <c r="C132" s="16" t="s">
        <v>56</v>
      </c>
      <c r="D132" s="16" t="s">
        <v>157</v>
      </c>
      <c r="E132" s="16" t="s">
        <v>86</v>
      </c>
      <c r="F132" s="16" t="s">
        <v>87</v>
      </c>
      <c r="G132" s="26">
        <v>1976</v>
      </c>
      <c r="H132" s="26">
        <v>0</v>
      </c>
      <c r="I132" s="26">
        <v>0</v>
      </c>
      <c r="J132" s="26">
        <v>0</v>
      </c>
      <c r="K132" s="26"/>
    </row>
    <row r="133" spans="1:11" ht="15.75" x14ac:dyDescent="0.25">
      <c r="A133" s="15" t="s">
        <v>247</v>
      </c>
      <c r="B133" s="16" t="s">
        <v>55</v>
      </c>
      <c r="C133" s="16" t="s">
        <v>56</v>
      </c>
      <c r="D133" s="16" t="s">
        <v>158</v>
      </c>
      <c r="E133" s="16" t="s">
        <v>86</v>
      </c>
      <c r="F133" s="16" t="s">
        <v>87</v>
      </c>
      <c r="G133" s="26">
        <v>118560</v>
      </c>
      <c r="H133" s="26">
        <v>0</v>
      </c>
      <c r="I133" s="26">
        <v>0</v>
      </c>
      <c r="J133" s="26">
        <v>0</v>
      </c>
      <c r="K133" s="26"/>
    </row>
    <row r="134" spans="1:11" ht="15.75" x14ac:dyDescent="0.25">
      <c r="A134" s="15" t="s">
        <v>387</v>
      </c>
      <c r="B134" s="16" t="s">
        <v>55</v>
      </c>
      <c r="C134" s="16" t="s">
        <v>56</v>
      </c>
      <c r="D134" s="16" t="s">
        <v>388</v>
      </c>
      <c r="E134" s="16" t="s">
        <v>86</v>
      </c>
      <c r="F134" s="16" t="s">
        <v>87</v>
      </c>
      <c r="G134" s="26">
        <v>800</v>
      </c>
      <c r="H134" s="26">
        <v>0</v>
      </c>
      <c r="I134" s="26">
        <v>0</v>
      </c>
      <c r="J134" s="26">
        <v>0</v>
      </c>
      <c r="K134" s="26"/>
    </row>
    <row r="135" spans="1:11" ht="15.75" x14ac:dyDescent="0.25">
      <c r="A135" s="15" t="s">
        <v>248</v>
      </c>
      <c r="B135" s="16" t="s">
        <v>55</v>
      </c>
      <c r="C135" s="16" t="s">
        <v>57</v>
      </c>
      <c r="D135" s="16" t="s">
        <v>159</v>
      </c>
      <c r="E135" s="16" t="s">
        <v>86</v>
      </c>
      <c r="F135" s="16" t="s">
        <v>87</v>
      </c>
      <c r="G135" s="26">
        <v>8070</v>
      </c>
      <c r="H135" s="26">
        <v>0</v>
      </c>
      <c r="I135" s="26">
        <v>0</v>
      </c>
      <c r="J135" s="26">
        <v>861</v>
      </c>
      <c r="K135" s="26"/>
    </row>
    <row r="136" spans="1:11" ht="15.75" x14ac:dyDescent="0.25">
      <c r="A136" s="15" t="s">
        <v>249</v>
      </c>
      <c r="B136" s="16" t="s">
        <v>55</v>
      </c>
      <c r="C136" s="16" t="s">
        <v>56</v>
      </c>
      <c r="D136" s="16" t="s">
        <v>160</v>
      </c>
      <c r="E136" s="16" t="s">
        <v>86</v>
      </c>
      <c r="F136" s="16" t="s">
        <v>87</v>
      </c>
      <c r="G136" s="26">
        <v>13000</v>
      </c>
      <c r="H136" s="26">
        <v>0</v>
      </c>
      <c r="I136" s="26">
        <v>0</v>
      </c>
      <c r="J136" s="26">
        <v>0</v>
      </c>
      <c r="K136" s="26"/>
    </row>
    <row r="137" spans="1:11" ht="15.75" x14ac:dyDescent="0.25">
      <c r="A137" s="15"/>
      <c r="B137" s="16"/>
      <c r="C137" s="16"/>
      <c r="D137" s="16"/>
      <c r="E137" s="16"/>
      <c r="F137" s="16"/>
      <c r="G137" s="26"/>
      <c r="H137" s="26"/>
      <c r="I137" s="26"/>
      <c r="J137" s="26"/>
      <c r="K137" s="26"/>
    </row>
    <row r="138" spans="1:11" ht="15.75" x14ac:dyDescent="0.25">
      <c r="A138" s="15"/>
      <c r="B138" s="16"/>
      <c r="C138" s="16"/>
      <c r="D138" s="16"/>
      <c r="E138" s="16"/>
      <c r="F138" s="16"/>
      <c r="G138" s="26">
        <f>SUM(G2:G137)</f>
        <v>2635737</v>
      </c>
      <c r="H138" s="26">
        <f t="shared" ref="H138:J138" si="0">SUM(H2:H137)</f>
        <v>11946340</v>
      </c>
      <c r="I138" s="26">
        <f t="shared" si="0"/>
        <v>2416380</v>
      </c>
      <c r="J138" s="26">
        <f t="shared" si="0"/>
        <v>85106</v>
      </c>
      <c r="K138" s="26"/>
    </row>
    <row r="139" spans="1:11" ht="15.75" x14ac:dyDescent="0.25">
      <c r="A139" s="15"/>
      <c r="B139" s="16"/>
      <c r="C139" s="16"/>
      <c r="D139" s="16"/>
      <c r="E139" s="16"/>
      <c r="F139" s="16"/>
      <c r="G139" s="21">
        <v>289898</v>
      </c>
      <c r="H139">
        <v>333946</v>
      </c>
      <c r="I139">
        <v>37844</v>
      </c>
      <c r="J139">
        <v>10667</v>
      </c>
      <c r="K139">
        <v>10667</v>
      </c>
    </row>
    <row r="140" spans="1:11" ht="15.75" x14ac:dyDescent="0.25">
      <c r="A140" s="15"/>
      <c r="B140" s="16"/>
      <c r="C140" s="16"/>
      <c r="D140" s="16"/>
      <c r="E140" s="16"/>
      <c r="F140" s="16"/>
      <c r="G140" s="26">
        <f>G138+G139</f>
        <v>2925635</v>
      </c>
      <c r="H140" s="26">
        <f t="shared" ref="H140:J140" si="1">H138+H139</f>
        <v>12280286</v>
      </c>
      <c r="I140" s="26">
        <f t="shared" si="1"/>
        <v>2454224</v>
      </c>
      <c r="J140" s="26">
        <f t="shared" si="1"/>
        <v>95773</v>
      </c>
      <c r="K140" s="26"/>
    </row>
    <row r="141" spans="1:11" ht="15.75" x14ac:dyDescent="0.25">
      <c r="A141" s="15"/>
      <c r="B141" s="16"/>
      <c r="C141" s="16"/>
      <c r="D141" s="16"/>
      <c r="E141" s="16"/>
      <c r="F141" s="16"/>
      <c r="G141" s="26"/>
      <c r="H141" s="26"/>
      <c r="I141" s="26"/>
      <c r="J141" s="26"/>
      <c r="K141" s="26"/>
    </row>
    <row r="142" spans="1:11" ht="15.75" x14ac:dyDescent="0.25">
      <c r="A142" s="15"/>
      <c r="B142" s="16"/>
      <c r="C142" s="16"/>
      <c r="D142" s="16"/>
      <c r="E142" s="16"/>
      <c r="F142" s="16"/>
      <c r="G142" s="26"/>
      <c r="H142" s="26"/>
      <c r="I142" s="26"/>
      <c r="J142" s="26"/>
      <c r="K142" s="26"/>
    </row>
    <row r="143" spans="1:11" ht="15.75" x14ac:dyDescent="0.25">
      <c r="A143" s="15"/>
      <c r="B143" s="16"/>
      <c r="C143" s="16"/>
      <c r="D143" s="16"/>
      <c r="E143" s="16"/>
      <c r="F143" s="16"/>
      <c r="G143" s="26"/>
      <c r="H143" s="26"/>
      <c r="I143" s="26"/>
      <c r="J143" s="26"/>
      <c r="K143" s="26"/>
    </row>
    <row r="144" spans="1:11" ht="15.75" x14ac:dyDescent="0.25">
      <c r="A144" s="15"/>
      <c r="B144" s="16"/>
      <c r="C144" s="16"/>
      <c r="D144" s="16"/>
      <c r="E144" s="16"/>
      <c r="F144" s="16"/>
      <c r="G144" s="26"/>
      <c r="H144" s="26"/>
      <c r="I144" s="26"/>
      <c r="J144" s="26"/>
      <c r="K144" s="26"/>
    </row>
    <row r="145" spans="1:11" ht="15.75" x14ac:dyDescent="0.25">
      <c r="A145" s="15"/>
      <c r="B145" s="16"/>
      <c r="C145" s="16"/>
      <c r="D145" s="16"/>
      <c r="E145" s="16"/>
      <c r="F145" s="16"/>
      <c r="G145" s="26"/>
      <c r="H145" s="26"/>
      <c r="I145" s="26"/>
      <c r="J145" s="26"/>
      <c r="K145" s="26"/>
    </row>
    <row r="146" spans="1:11" ht="15.75" x14ac:dyDescent="0.25">
      <c r="A146" s="15"/>
      <c r="B146" s="16"/>
      <c r="C146" s="16"/>
      <c r="D146" s="16"/>
      <c r="E146" s="16"/>
      <c r="F146" s="16"/>
      <c r="G146" s="26"/>
      <c r="H146" s="26"/>
      <c r="I146" s="26"/>
      <c r="J146" s="26"/>
      <c r="K146" s="26"/>
    </row>
    <row r="147" spans="1:11" ht="15.75" x14ac:dyDescent="0.25">
      <c r="A147" s="15"/>
      <c r="B147" s="16"/>
      <c r="C147" s="16"/>
      <c r="D147" s="16"/>
      <c r="E147" s="16"/>
      <c r="F147" s="16"/>
      <c r="G147" s="26"/>
      <c r="H147" s="26"/>
      <c r="I147" s="26"/>
      <c r="J147" s="26"/>
      <c r="K147" s="26"/>
    </row>
    <row r="148" spans="1:11" ht="15.75" x14ac:dyDescent="0.25">
      <c r="A148" s="15"/>
      <c r="B148" s="16"/>
      <c r="C148" s="16"/>
      <c r="D148" s="16"/>
      <c r="E148" s="16"/>
      <c r="F148" s="16"/>
      <c r="G148" s="26"/>
      <c r="H148" s="26"/>
      <c r="I148" s="26"/>
      <c r="J148" s="26"/>
      <c r="K148" s="26"/>
    </row>
    <row r="149" spans="1:11" ht="15.75" x14ac:dyDescent="0.25">
      <c r="A149" s="15"/>
      <c r="B149" s="16"/>
      <c r="C149" s="16"/>
      <c r="D149" s="16"/>
      <c r="E149" s="16"/>
      <c r="F149" s="16"/>
      <c r="G149" s="26"/>
      <c r="H149" s="26"/>
      <c r="I149" s="26"/>
      <c r="J149" s="26"/>
      <c r="K149" s="26"/>
    </row>
    <row r="150" spans="1:11" ht="15.75" x14ac:dyDescent="0.25">
      <c r="A150" s="15"/>
      <c r="B150" s="16"/>
      <c r="C150" s="16"/>
      <c r="D150" s="16"/>
      <c r="E150" s="16"/>
      <c r="F150" s="16"/>
      <c r="G150" s="26"/>
      <c r="H150" s="26"/>
      <c r="I150" s="26"/>
      <c r="J150" s="26"/>
      <c r="K150" s="26"/>
    </row>
    <row r="151" spans="1:11" ht="15.75" x14ac:dyDescent="0.25">
      <c r="A151" s="15"/>
      <c r="B151" s="16"/>
      <c r="C151" s="16"/>
      <c r="D151" s="16"/>
      <c r="E151" s="16"/>
      <c r="F151" s="16"/>
      <c r="G151" s="26"/>
      <c r="H151" s="26"/>
      <c r="I151" s="26"/>
      <c r="J151" s="26"/>
      <c r="K151" s="26"/>
    </row>
    <row r="152" spans="1:11" ht="15.75" x14ac:dyDescent="0.25">
      <c r="A152" s="15"/>
      <c r="B152" s="16"/>
      <c r="C152" s="16"/>
      <c r="D152" s="16"/>
      <c r="E152" s="16"/>
      <c r="F152" s="16"/>
      <c r="G152" s="26"/>
      <c r="H152" s="26"/>
      <c r="I152" s="26"/>
      <c r="J152" s="26"/>
      <c r="K152" s="26"/>
    </row>
    <row r="153" spans="1:11" ht="15.75" x14ac:dyDescent="0.25">
      <c r="A153" s="15"/>
      <c r="B153" s="16"/>
      <c r="C153" s="16"/>
      <c r="D153" s="16"/>
      <c r="E153" s="16"/>
      <c r="F153" s="16"/>
      <c r="G153" s="26"/>
      <c r="H153" s="26"/>
      <c r="I153" s="26"/>
      <c r="J153" s="26"/>
      <c r="K153" s="26"/>
    </row>
    <row r="154" spans="1:11" ht="15.75" x14ac:dyDescent="0.25">
      <c r="A154" s="15"/>
      <c r="B154" s="16"/>
      <c r="C154" s="16"/>
      <c r="D154" s="16"/>
      <c r="E154" s="16"/>
      <c r="F154" s="16"/>
      <c r="G154" s="26"/>
      <c r="H154" s="26"/>
      <c r="I154" s="26"/>
      <c r="J154" s="26"/>
      <c r="K154" s="26"/>
    </row>
    <row r="155" spans="1:11" ht="15.75" x14ac:dyDescent="0.25">
      <c r="A155" s="15"/>
      <c r="B155" s="16"/>
      <c r="C155" s="16"/>
      <c r="D155" s="16"/>
      <c r="E155" s="16"/>
      <c r="F155" s="16"/>
      <c r="G155" s="26"/>
      <c r="H155" s="26"/>
      <c r="I155" s="26"/>
      <c r="J155" s="26"/>
      <c r="K155" s="26"/>
    </row>
    <row r="156" spans="1:11" ht="15.75" x14ac:dyDescent="0.25">
      <c r="A156" s="15"/>
      <c r="B156" s="16"/>
      <c r="C156" s="16"/>
      <c r="D156" s="16"/>
      <c r="E156" s="16"/>
      <c r="F156" s="16"/>
      <c r="G156" s="26"/>
      <c r="H156" s="26"/>
      <c r="I156" s="26"/>
      <c r="J156" s="26"/>
      <c r="K156" s="26"/>
    </row>
    <row r="157" spans="1:11" ht="15.75" x14ac:dyDescent="0.25">
      <c r="A157" s="15"/>
      <c r="B157" s="16"/>
      <c r="C157" s="16"/>
      <c r="D157" s="16"/>
      <c r="E157" s="16"/>
      <c r="F157" s="16"/>
      <c r="G157" s="26"/>
      <c r="H157" s="26"/>
      <c r="I157" s="26"/>
      <c r="J157" s="26"/>
      <c r="K157" s="26"/>
    </row>
    <row r="158" spans="1:11" ht="15.75" x14ac:dyDescent="0.25">
      <c r="A158" s="15"/>
      <c r="B158" s="16"/>
      <c r="C158" s="16"/>
      <c r="D158" s="16"/>
      <c r="E158" s="16"/>
      <c r="F158" s="16"/>
      <c r="G158" s="26"/>
      <c r="H158" s="26"/>
      <c r="I158" s="26"/>
      <c r="J158" s="26"/>
      <c r="K158" s="26"/>
    </row>
    <row r="159" spans="1:11" ht="15.75" x14ac:dyDescent="0.25">
      <c r="A159" s="15"/>
      <c r="B159" s="16"/>
      <c r="C159" s="16"/>
      <c r="D159" s="16"/>
      <c r="E159" s="16"/>
      <c r="F159" s="16"/>
      <c r="G159" s="26"/>
      <c r="H159" s="26"/>
      <c r="I159" s="26"/>
      <c r="J159" s="26"/>
      <c r="K159" s="26"/>
    </row>
    <row r="160" spans="1:11" ht="15.75" x14ac:dyDescent="0.25">
      <c r="K160" s="26"/>
    </row>
    <row r="161" spans="7:11" ht="15.75" x14ac:dyDescent="0.25">
      <c r="K161" s="26"/>
    </row>
    <row r="162" spans="7:11" ht="15.75" x14ac:dyDescent="0.25">
      <c r="G162" s="13">
        <f>SUM(G2:G160)</f>
        <v>8487007</v>
      </c>
      <c r="H162" s="13">
        <f>SUM(H2:H160)</f>
        <v>36506912</v>
      </c>
      <c r="I162" s="13">
        <f>SUM(I2:I160)</f>
        <v>7324828</v>
      </c>
      <c r="J162" s="13">
        <f>SUM(J2:J160)</f>
        <v>276652</v>
      </c>
      <c r="K162" s="26"/>
    </row>
    <row r="163" spans="7:11" ht="15.75" x14ac:dyDescent="0.25">
      <c r="G163" s="13">
        <f>COL!G44</f>
        <v>289898</v>
      </c>
      <c r="H163" s="13" t="e">
        <f>COL!#REF!</f>
        <v>#REF!</v>
      </c>
      <c r="I163" s="13" t="e">
        <f>COL!#REF!</f>
        <v>#REF!</v>
      </c>
      <c r="J163" s="13" t="e">
        <f>COL!#REF!</f>
        <v>#REF!</v>
      </c>
      <c r="K163" s="26"/>
    </row>
    <row r="164" spans="7:11" ht="15.75" x14ac:dyDescent="0.25">
      <c r="G164" s="13">
        <f>SUM(G162:G163)</f>
        <v>8776905</v>
      </c>
      <c r="H164" s="13" t="e">
        <f t="shared" ref="H164:I164" si="2">SUM(H162:H163)</f>
        <v>#REF!</v>
      </c>
      <c r="I164" s="13" t="e">
        <f t="shared" si="2"/>
        <v>#REF!</v>
      </c>
      <c r="J164" s="13" t="e">
        <f>SUM(J162:J163)</f>
        <v>#REF!</v>
      </c>
      <c r="K164" s="26"/>
    </row>
    <row r="165" spans="7:11" ht="15.75" x14ac:dyDescent="0.25">
      <c r="K165" s="26"/>
    </row>
    <row r="166" spans="7:11" ht="15.75" x14ac:dyDescent="0.25">
      <c r="K166" s="26"/>
    </row>
    <row r="167" spans="7:11" ht="15.75" x14ac:dyDescent="0.25">
      <c r="K167" s="26"/>
    </row>
    <row r="168" spans="7:11" ht="15.75" x14ac:dyDescent="0.25">
      <c r="K168" s="26"/>
    </row>
    <row r="169" spans="7:11" ht="15.75" x14ac:dyDescent="0.25">
      <c r="K169" s="26"/>
    </row>
    <row r="170" spans="7:11" ht="15.75" x14ac:dyDescent="0.25">
      <c r="K170" s="26"/>
    </row>
    <row r="171" spans="7:11" ht="15.75" x14ac:dyDescent="0.25">
      <c r="K171" s="26"/>
    </row>
    <row r="172" spans="7:11" ht="15.75" x14ac:dyDescent="0.25">
      <c r="K172" s="26"/>
    </row>
    <row r="173" spans="7:11" ht="15.75" x14ac:dyDescent="0.25">
      <c r="K173" s="26"/>
    </row>
    <row r="174" spans="7:11" ht="15.75" x14ac:dyDescent="0.25">
      <c r="K174" s="26"/>
    </row>
    <row r="175" spans="7:11" ht="15.75" x14ac:dyDescent="0.25">
      <c r="K175" s="26"/>
    </row>
    <row r="176" spans="7:11" ht="15.75" x14ac:dyDescent="0.25">
      <c r="K176" s="26"/>
    </row>
    <row r="177" spans="11:11" ht="15.75" x14ac:dyDescent="0.25">
      <c r="K177" s="26"/>
    </row>
    <row r="178" spans="11:11" ht="15.75" x14ac:dyDescent="0.25">
      <c r="K178" s="26"/>
    </row>
    <row r="179" spans="11:11" ht="15.75" x14ac:dyDescent="0.25">
      <c r="K179" s="26"/>
    </row>
    <row r="180" spans="11:11" ht="15.75" x14ac:dyDescent="0.25">
      <c r="K180" s="26"/>
    </row>
    <row r="181" spans="11:11" ht="15.75" x14ac:dyDescent="0.25">
      <c r="K181" s="26"/>
    </row>
    <row r="182" spans="11:11" ht="15.75" x14ac:dyDescent="0.25">
      <c r="K182" s="26"/>
    </row>
    <row r="183" spans="11:11" ht="15.75" x14ac:dyDescent="0.25">
      <c r="K183" s="26"/>
    </row>
    <row r="184" spans="11:11" ht="15.75" x14ac:dyDescent="0.25">
      <c r="K184" s="26"/>
    </row>
    <row r="185" spans="11:11" ht="15.75" x14ac:dyDescent="0.25">
      <c r="K185" s="26"/>
    </row>
    <row r="186" spans="11:11" ht="15.75" x14ac:dyDescent="0.25">
      <c r="K186" s="26"/>
    </row>
    <row r="187" spans="11:11" ht="15.75" x14ac:dyDescent="0.25">
      <c r="K187" s="26"/>
    </row>
    <row r="188" spans="11:11" ht="15.75" x14ac:dyDescent="0.25">
      <c r="K188" s="26"/>
    </row>
    <row r="189" spans="11:11" ht="15.75" x14ac:dyDescent="0.25">
      <c r="K189" s="26"/>
    </row>
    <row r="190" spans="11:11" ht="15.75" x14ac:dyDescent="0.25">
      <c r="K190" s="26"/>
    </row>
    <row r="191" spans="11:11" ht="15.75" x14ac:dyDescent="0.25">
      <c r="K191" s="26"/>
    </row>
    <row r="192" spans="11:11" ht="15.75" x14ac:dyDescent="0.25">
      <c r="K192" s="26"/>
    </row>
    <row r="193" spans="11:11" ht="15.75" x14ac:dyDescent="0.25">
      <c r="K193" s="26"/>
    </row>
    <row r="194" spans="11:11" ht="15.75" x14ac:dyDescent="0.25">
      <c r="K194" s="26"/>
    </row>
    <row r="195" spans="11:11" ht="15.75" x14ac:dyDescent="0.25">
      <c r="K195" s="26"/>
    </row>
    <row r="196" spans="11:11" ht="15.75" x14ac:dyDescent="0.25">
      <c r="K196" s="26"/>
    </row>
    <row r="197" spans="11:11" ht="15.75" x14ac:dyDescent="0.25">
      <c r="K197" s="26"/>
    </row>
    <row r="198" spans="11:11" ht="15.75" x14ac:dyDescent="0.25">
      <c r="K198" s="26"/>
    </row>
    <row r="199" spans="11:11" ht="15.75" x14ac:dyDescent="0.25">
      <c r="K199" s="26"/>
    </row>
    <row r="200" spans="11:11" ht="15.75" x14ac:dyDescent="0.25">
      <c r="K200" s="26"/>
    </row>
    <row r="201" spans="11:11" ht="15.75" x14ac:dyDescent="0.25">
      <c r="K201" s="26"/>
    </row>
    <row r="202" spans="11:11" ht="15.75" x14ac:dyDescent="0.25">
      <c r="K202" s="26"/>
    </row>
    <row r="203" spans="11:11" ht="15.75" x14ac:dyDescent="0.25">
      <c r="K203" s="26"/>
    </row>
    <row r="204" spans="11:11" ht="15.75" x14ac:dyDescent="0.25">
      <c r="K204" s="26"/>
    </row>
    <row r="205" spans="11:11" ht="15.75" x14ac:dyDescent="0.25">
      <c r="K205" s="26"/>
    </row>
    <row r="206" spans="11:11" ht="15.75" x14ac:dyDescent="0.25">
      <c r="K206" s="16"/>
    </row>
    <row r="207" spans="11:11" ht="15.75" x14ac:dyDescent="0.25">
      <c r="K207" s="16"/>
    </row>
    <row r="208" spans="11:11" ht="15.75" x14ac:dyDescent="0.25">
      <c r="K208" s="16"/>
    </row>
    <row r="209" spans="11:11" ht="15.75" x14ac:dyDescent="0.25">
      <c r="K209" s="16"/>
    </row>
    <row r="210" spans="11:11" ht="15.75" x14ac:dyDescent="0.25">
      <c r="K210" s="16"/>
    </row>
    <row r="211" spans="11:11" ht="15.75" x14ac:dyDescent="0.25">
      <c r="K211" s="16"/>
    </row>
    <row r="212" spans="11:11" ht="15.75" x14ac:dyDescent="0.25">
      <c r="K212" s="16"/>
    </row>
    <row r="213" spans="11:11" ht="15.75" x14ac:dyDescent="0.25">
      <c r="K213" s="16"/>
    </row>
    <row r="214" spans="11:11" ht="15.75" x14ac:dyDescent="0.25">
      <c r="K214" s="16"/>
    </row>
    <row r="215" spans="11:11" ht="15.75" x14ac:dyDescent="0.25">
      <c r="K215" s="16"/>
    </row>
    <row r="216" spans="11:11" ht="15.75" x14ac:dyDescent="0.25">
      <c r="K216" s="16"/>
    </row>
    <row r="217" spans="11:11" ht="15.75" x14ac:dyDescent="0.25">
      <c r="K217" s="16"/>
    </row>
    <row r="218" spans="11:11" ht="15.75" x14ac:dyDescent="0.25">
      <c r="K218" s="16"/>
    </row>
    <row r="219" spans="11:11" ht="15.75" x14ac:dyDescent="0.25">
      <c r="K219" s="16"/>
    </row>
    <row r="220" spans="11:11" ht="15.75" x14ac:dyDescent="0.25">
      <c r="K220" s="16"/>
    </row>
    <row r="221" spans="11:11" ht="15.75" x14ac:dyDescent="0.25">
      <c r="K221" s="16"/>
    </row>
    <row r="222" spans="11:11" ht="15.75" x14ac:dyDescent="0.25">
      <c r="K222" s="16"/>
    </row>
    <row r="223" spans="11:11" ht="15.75" x14ac:dyDescent="0.25">
      <c r="K223" s="16"/>
    </row>
    <row r="224" spans="11:11" ht="15.75" x14ac:dyDescent="0.25">
      <c r="K224" s="16"/>
    </row>
    <row r="225" spans="11:11" ht="15.75" x14ac:dyDescent="0.25">
      <c r="K225" s="16"/>
    </row>
    <row r="226" spans="11:11" ht="15.75" x14ac:dyDescent="0.25">
      <c r="K226" s="16"/>
    </row>
    <row r="227" spans="11:11" ht="15.75" x14ac:dyDescent="0.25">
      <c r="K227" s="16"/>
    </row>
    <row r="228" spans="11:11" ht="15.75" x14ac:dyDescent="0.25">
      <c r="K228" s="16"/>
    </row>
    <row r="229" spans="11:11" ht="15.75" x14ac:dyDescent="0.25">
      <c r="K229" s="16"/>
    </row>
    <row r="230" spans="11:11" ht="15.75" x14ac:dyDescent="0.25">
      <c r="K230" s="16"/>
    </row>
    <row r="231" spans="11:11" ht="15.75" x14ac:dyDescent="0.25">
      <c r="K231" s="16"/>
    </row>
    <row r="232" spans="11:11" ht="15.75" x14ac:dyDescent="0.25">
      <c r="K232" s="16"/>
    </row>
    <row r="233" spans="11:11" ht="15.75" x14ac:dyDescent="0.25">
      <c r="K233" s="16"/>
    </row>
    <row r="234" spans="11:11" ht="15.75" x14ac:dyDescent="0.25">
      <c r="K234" s="16"/>
    </row>
    <row r="235" spans="11:11" ht="15.75" x14ac:dyDescent="0.25">
      <c r="K235" s="16"/>
    </row>
    <row r="236" spans="11:11" ht="15.75" x14ac:dyDescent="0.25">
      <c r="K236" s="16"/>
    </row>
    <row r="237" spans="11:11" ht="15.75" x14ac:dyDescent="0.25">
      <c r="K237" s="16"/>
    </row>
    <row r="238" spans="11:11" ht="15.75" x14ac:dyDescent="0.25">
      <c r="K238" s="16"/>
    </row>
    <row r="239" spans="11:11" ht="15.75" x14ac:dyDescent="0.25">
      <c r="K239" s="16"/>
    </row>
    <row r="240" spans="11:11" ht="15.75" x14ac:dyDescent="0.25">
      <c r="K240" s="16"/>
    </row>
    <row r="241" spans="11:11" ht="15.75" x14ac:dyDescent="0.25">
      <c r="K241" s="16"/>
    </row>
    <row r="242" spans="11:11" ht="15.75" x14ac:dyDescent="0.25">
      <c r="K242" s="16"/>
    </row>
    <row r="243" spans="11:11" ht="15.75" x14ac:dyDescent="0.25">
      <c r="K243" s="16"/>
    </row>
    <row r="244" spans="11:11" ht="15.75" x14ac:dyDescent="0.25">
      <c r="K244" s="16"/>
    </row>
    <row r="245" spans="11:11" ht="15.75" x14ac:dyDescent="0.25">
      <c r="K245" s="16"/>
    </row>
    <row r="246" spans="11:11" ht="15.75" x14ac:dyDescent="0.25">
      <c r="K246" s="16"/>
    </row>
    <row r="247" spans="11:11" ht="15.75" x14ac:dyDescent="0.25">
      <c r="K247" s="16"/>
    </row>
    <row r="248" spans="11:11" ht="15.75" x14ac:dyDescent="0.25">
      <c r="K248" s="16"/>
    </row>
    <row r="249" spans="11:11" ht="15.75" x14ac:dyDescent="0.25">
      <c r="K249" s="16"/>
    </row>
    <row r="250" spans="11:11" ht="15.75" x14ac:dyDescent="0.25">
      <c r="K250" s="16"/>
    </row>
    <row r="251" spans="11:11" ht="15.75" x14ac:dyDescent="0.25">
      <c r="K251" s="16"/>
    </row>
    <row r="252" spans="11:11" ht="15.75" x14ac:dyDescent="0.25">
      <c r="K252" s="16"/>
    </row>
    <row r="253" spans="11:11" ht="15.75" x14ac:dyDescent="0.25">
      <c r="K253" s="16"/>
    </row>
    <row r="254" spans="11:11" ht="15.75" x14ac:dyDescent="0.25">
      <c r="K254" s="16"/>
    </row>
    <row r="255" spans="11:11" ht="15.75" x14ac:dyDescent="0.25">
      <c r="K255" s="16"/>
    </row>
    <row r="256" spans="11:11" ht="15.75" x14ac:dyDescent="0.25">
      <c r="K256" s="16"/>
    </row>
    <row r="257" spans="11:11" ht="15.75" x14ac:dyDescent="0.25">
      <c r="K257" s="16"/>
    </row>
    <row r="258" spans="11:11" ht="15.75" x14ac:dyDescent="0.25">
      <c r="K258" s="16"/>
    </row>
    <row r="259" spans="11:11" ht="15.75" x14ac:dyDescent="0.25">
      <c r="K259" s="16"/>
    </row>
    <row r="260" spans="11:11" ht="15.75" x14ac:dyDescent="0.25">
      <c r="K260" s="16"/>
    </row>
    <row r="261" spans="11:11" ht="15.75" x14ac:dyDescent="0.25">
      <c r="K261" s="16"/>
    </row>
    <row r="262" spans="11:11" ht="15.75" x14ac:dyDescent="0.25">
      <c r="K262" s="16"/>
    </row>
    <row r="263" spans="11:11" ht="15.75" x14ac:dyDescent="0.25">
      <c r="K263" s="16"/>
    </row>
    <row r="264" spans="11:11" ht="15.75" x14ac:dyDescent="0.25">
      <c r="K264" s="16"/>
    </row>
  </sheetData>
  <autoFilter ref="A1:J146" xr:uid="{369A7484-D234-4342-B263-05319F7CF83F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0FE2D-4254-4028-A9D3-33C7CB18E859}">
  <dimension ref="A3:M162"/>
  <sheetViews>
    <sheetView workbookViewId="0">
      <pane xSplit="7" ySplit="3" topLeftCell="J147" activePane="bottomRight" state="frozen"/>
      <selection pane="topRight" activeCell="H1" sqref="H1"/>
      <selection pane="bottomLeft" activeCell="A4" sqref="A4"/>
      <selection pane="bottomRight" activeCell="C163" sqref="C163"/>
    </sheetView>
  </sheetViews>
  <sheetFormatPr baseColWidth="10" defaultRowHeight="15" x14ac:dyDescent="0.25"/>
  <cols>
    <col min="1" max="1" width="17.85546875" bestFit="1" customWidth="1"/>
    <col min="2" max="2" width="19.7109375" style="13" bestFit="1" customWidth="1"/>
    <col min="3" max="3" width="18.7109375" style="13" bestFit="1" customWidth="1"/>
    <col min="4" max="4" width="15.42578125" style="13" bestFit="1" customWidth="1"/>
    <col min="5" max="6" width="17.5703125" style="13" bestFit="1" customWidth="1"/>
    <col min="7" max="7" width="16.140625" bestFit="1" customWidth="1"/>
    <col min="8" max="8" width="19.85546875" bestFit="1" customWidth="1"/>
    <col min="9" max="9" width="18.85546875" bestFit="1" customWidth="1"/>
    <col min="10" max="10" width="14.7109375" bestFit="1" customWidth="1"/>
    <col min="11" max="11" width="16.85546875" bestFit="1" customWidth="1"/>
    <col min="12" max="12" width="14.42578125" bestFit="1" customWidth="1"/>
    <col min="13" max="13" width="17.28515625" bestFit="1" customWidth="1"/>
  </cols>
  <sheetData>
    <row r="3" spans="1:13" x14ac:dyDescent="0.25">
      <c r="A3" s="38" t="s">
        <v>390</v>
      </c>
      <c r="B3" s="13" t="s">
        <v>393</v>
      </c>
      <c r="C3" s="13" t="s">
        <v>394</v>
      </c>
      <c r="D3" s="13" t="s">
        <v>395</v>
      </c>
      <c r="E3" s="13" t="s">
        <v>396</v>
      </c>
      <c r="G3" t="s">
        <v>390</v>
      </c>
      <c r="H3" t="s">
        <v>393</v>
      </c>
      <c r="I3" t="s">
        <v>394</v>
      </c>
      <c r="J3" t="s">
        <v>395</v>
      </c>
      <c r="K3" t="s">
        <v>396</v>
      </c>
      <c r="L3" t="s">
        <v>0</v>
      </c>
      <c r="M3" t="s">
        <v>1</v>
      </c>
    </row>
    <row r="4" spans="1:13" x14ac:dyDescent="0.25">
      <c r="A4" s="39" t="s">
        <v>65</v>
      </c>
      <c r="B4" s="13">
        <v>30000</v>
      </c>
      <c r="C4" s="13">
        <v>0</v>
      </c>
      <c r="D4" s="13">
        <v>42644</v>
      </c>
      <c r="E4" s="13">
        <v>3200</v>
      </c>
      <c r="G4" t="s">
        <v>65</v>
      </c>
      <c r="H4">
        <v>30000</v>
      </c>
      <c r="I4">
        <v>0</v>
      </c>
      <c r="J4">
        <v>42644</v>
      </c>
      <c r="K4">
        <v>3200</v>
      </c>
      <c r="L4" t="str">
        <f>VLOOKUP(G4,consolodiado!A:C,3,0)</f>
        <v>04</v>
      </c>
      <c r="M4" t="str">
        <f>VLOOKUP(G4,consolodiado!A:D,4,0)</f>
        <v>03</v>
      </c>
    </row>
    <row r="5" spans="1:13" x14ac:dyDescent="0.25">
      <c r="A5" s="39" t="s">
        <v>73</v>
      </c>
      <c r="B5" s="13">
        <v>82000</v>
      </c>
      <c r="C5" s="13">
        <v>0</v>
      </c>
      <c r="D5" s="13">
        <v>0</v>
      </c>
      <c r="E5" s="13">
        <v>8749</v>
      </c>
      <c r="G5" t="s">
        <v>73</v>
      </c>
      <c r="H5">
        <v>82000</v>
      </c>
      <c r="I5">
        <v>0</v>
      </c>
      <c r="J5">
        <v>0</v>
      </c>
      <c r="K5">
        <v>8749</v>
      </c>
      <c r="L5" t="str">
        <f>VLOOKUP(G5,consolodiado!A:C,3,0)</f>
        <v>04</v>
      </c>
      <c r="M5" t="str">
        <f>VLOOKUP(G5,consolodiado!A:D,4,0)</f>
        <v>06</v>
      </c>
    </row>
    <row r="6" spans="1:13" x14ac:dyDescent="0.25">
      <c r="A6" s="39" t="s">
        <v>384</v>
      </c>
      <c r="B6" s="13">
        <v>0</v>
      </c>
      <c r="C6" s="13">
        <v>0</v>
      </c>
      <c r="D6" s="13">
        <v>725</v>
      </c>
      <c r="E6" s="13">
        <v>0</v>
      </c>
      <c r="G6" t="s">
        <v>384</v>
      </c>
      <c r="H6">
        <v>0</v>
      </c>
      <c r="I6">
        <v>0</v>
      </c>
      <c r="J6">
        <v>725</v>
      </c>
      <c r="K6">
        <v>0</v>
      </c>
      <c r="L6" t="str">
        <f>VLOOKUP(G6,consolodiado!A:C,3,0)</f>
        <v>04</v>
      </c>
      <c r="M6" t="str">
        <f>VLOOKUP(G6,consolodiado!A:D,4,0)</f>
        <v>03</v>
      </c>
    </row>
    <row r="7" spans="1:13" x14ac:dyDescent="0.25">
      <c r="A7" s="39" t="s">
        <v>275</v>
      </c>
      <c r="B7" s="13">
        <v>259</v>
      </c>
      <c r="C7" s="13">
        <v>29032</v>
      </c>
      <c r="D7" s="13">
        <v>0</v>
      </c>
      <c r="E7" s="13">
        <v>0</v>
      </c>
      <c r="G7" t="s">
        <v>275</v>
      </c>
      <c r="H7">
        <v>259</v>
      </c>
      <c r="I7">
        <v>29032</v>
      </c>
      <c r="J7">
        <v>0</v>
      </c>
      <c r="K7">
        <v>0</v>
      </c>
      <c r="L7" t="str">
        <f>VLOOKUP(G7,consolodiado!A:C,3,0)</f>
        <v>04</v>
      </c>
      <c r="M7" t="str">
        <f>VLOOKUP(G7,consolodiado!A:D,4,0)</f>
        <v>85</v>
      </c>
    </row>
    <row r="8" spans="1:13" x14ac:dyDescent="0.25">
      <c r="A8" s="39" t="s">
        <v>106</v>
      </c>
      <c r="B8" s="13">
        <v>33463</v>
      </c>
      <c r="C8" s="13">
        <v>0</v>
      </c>
      <c r="D8" s="13">
        <v>0</v>
      </c>
      <c r="E8" s="13">
        <v>0</v>
      </c>
      <c r="G8" t="s">
        <v>106</v>
      </c>
      <c r="H8">
        <v>33463</v>
      </c>
      <c r="I8">
        <v>0</v>
      </c>
      <c r="J8">
        <v>0</v>
      </c>
      <c r="K8">
        <v>0</v>
      </c>
      <c r="L8" t="str">
        <f>VLOOKUP(G8,consolodiado!A:C,3,0)</f>
        <v>04</v>
      </c>
      <c r="M8" t="str">
        <f>VLOOKUP(G8,consolodiado!A:D,4,0)</f>
        <v>85</v>
      </c>
    </row>
    <row r="9" spans="1:13" x14ac:dyDescent="0.25">
      <c r="A9" s="39" t="s">
        <v>107</v>
      </c>
      <c r="B9" s="13">
        <v>55541</v>
      </c>
      <c r="C9" s="13">
        <v>0</v>
      </c>
      <c r="D9" s="13">
        <v>0</v>
      </c>
      <c r="E9" s="13">
        <v>0</v>
      </c>
      <c r="G9" t="s">
        <v>107</v>
      </c>
      <c r="H9">
        <v>55541</v>
      </c>
      <c r="I9">
        <v>0</v>
      </c>
      <c r="J9">
        <v>0</v>
      </c>
      <c r="K9">
        <v>0</v>
      </c>
      <c r="L9" t="str">
        <f>VLOOKUP(G9,consolodiado!A:C,3,0)</f>
        <v>04</v>
      </c>
      <c r="M9" t="str">
        <f>VLOOKUP(G9,consolodiado!A:D,4,0)</f>
        <v>85</v>
      </c>
    </row>
    <row r="10" spans="1:13" x14ac:dyDescent="0.25">
      <c r="A10" s="39" t="s">
        <v>295</v>
      </c>
      <c r="B10" s="13">
        <v>5876</v>
      </c>
      <c r="C10" s="13">
        <v>0</v>
      </c>
      <c r="D10" s="13">
        <v>0</v>
      </c>
      <c r="E10" s="13">
        <v>0</v>
      </c>
      <c r="G10" t="s">
        <v>295</v>
      </c>
      <c r="H10">
        <v>5876</v>
      </c>
      <c r="I10">
        <v>0</v>
      </c>
      <c r="J10">
        <v>0</v>
      </c>
      <c r="K10">
        <v>0</v>
      </c>
      <c r="L10" t="str">
        <f>VLOOKUP(G10,consolodiado!A:C,3,0)</f>
        <v>04</v>
      </c>
      <c r="M10" t="str">
        <f>VLOOKUP(G10,consolodiado!A:D,4,0)</f>
        <v>85</v>
      </c>
    </row>
    <row r="11" spans="1:13" x14ac:dyDescent="0.25">
      <c r="A11" s="39" t="s">
        <v>257</v>
      </c>
      <c r="B11" s="13">
        <v>1277</v>
      </c>
      <c r="C11" s="13">
        <v>731</v>
      </c>
      <c r="D11" s="13">
        <v>0</v>
      </c>
      <c r="E11" s="13">
        <v>0</v>
      </c>
      <c r="G11" t="s">
        <v>257</v>
      </c>
      <c r="H11">
        <v>1277</v>
      </c>
      <c r="I11">
        <v>731</v>
      </c>
      <c r="J11">
        <v>0</v>
      </c>
      <c r="K11">
        <v>0</v>
      </c>
      <c r="L11" t="str">
        <f>VLOOKUP(G11,consolodiado!A:C,3,0)</f>
        <v>04</v>
      </c>
      <c r="M11" t="str">
        <f>VLOOKUP(G11,consolodiado!A:D,4,0)</f>
        <v>85</v>
      </c>
    </row>
    <row r="12" spans="1:13" x14ac:dyDescent="0.25">
      <c r="A12" s="39" t="s">
        <v>169</v>
      </c>
      <c r="B12" s="13">
        <v>14850</v>
      </c>
      <c r="C12" s="13">
        <v>0</v>
      </c>
      <c r="D12" s="13">
        <v>0</v>
      </c>
      <c r="E12" s="13">
        <v>0</v>
      </c>
      <c r="G12" t="s">
        <v>169</v>
      </c>
      <c r="H12">
        <v>14850</v>
      </c>
      <c r="I12">
        <v>0</v>
      </c>
      <c r="J12">
        <v>0</v>
      </c>
      <c r="K12">
        <v>0</v>
      </c>
      <c r="L12" t="str">
        <f>VLOOKUP(G12,consolodiado!A:C,3,0)</f>
        <v>04</v>
      </c>
      <c r="M12" t="str">
        <f>VLOOKUP(G12,consolodiado!A:D,4,0)</f>
        <v>85</v>
      </c>
    </row>
    <row r="13" spans="1:13" x14ac:dyDescent="0.25">
      <c r="A13" s="39" t="s">
        <v>59</v>
      </c>
      <c r="B13" s="13">
        <v>59765</v>
      </c>
      <c r="C13" s="13">
        <v>0</v>
      </c>
      <c r="D13" s="13">
        <v>0</v>
      </c>
      <c r="E13" s="13">
        <v>0</v>
      </c>
      <c r="G13" t="s">
        <v>59</v>
      </c>
      <c r="H13">
        <v>59765</v>
      </c>
      <c r="I13">
        <v>0</v>
      </c>
      <c r="J13">
        <v>0</v>
      </c>
      <c r="K13">
        <v>0</v>
      </c>
      <c r="L13" t="str">
        <f>VLOOKUP(G13,consolodiado!A:C,3,0)</f>
        <v>04</v>
      </c>
      <c r="M13" t="str">
        <f>VLOOKUP(G13,consolodiado!A:D,4,0)</f>
        <v>85</v>
      </c>
    </row>
    <row r="14" spans="1:13" x14ac:dyDescent="0.25">
      <c r="A14" s="39" t="s">
        <v>121</v>
      </c>
      <c r="B14" s="13">
        <v>2681</v>
      </c>
      <c r="C14" s="13">
        <v>0</v>
      </c>
      <c r="D14" s="13">
        <v>0</v>
      </c>
      <c r="E14" s="13">
        <v>0</v>
      </c>
      <c r="G14" t="s">
        <v>121</v>
      </c>
      <c r="H14">
        <v>2681</v>
      </c>
      <c r="I14">
        <v>0</v>
      </c>
      <c r="J14">
        <v>0</v>
      </c>
      <c r="K14">
        <v>0</v>
      </c>
      <c r="L14" t="str">
        <f>VLOOKUP(G14,consolodiado!A:C,3,0)</f>
        <v>04</v>
      </c>
      <c r="M14" t="str">
        <f>VLOOKUP(G14,consolodiado!A:D,4,0)</f>
        <v>85</v>
      </c>
    </row>
    <row r="15" spans="1:13" x14ac:dyDescent="0.25">
      <c r="A15" s="39" t="s">
        <v>71</v>
      </c>
      <c r="B15" s="13">
        <v>720</v>
      </c>
      <c r="C15" s="13">
        <v>0</v>
      </c>
      <c r="D15" s="13">
        <v>0</v>
      </c>
      <c r="E15" s="13">
        <v>0</v>
      </c>
      <c r="G15" t="s">
        <v>71</v>
      </c>
      <c r="H15">
        <v>720</v>
      </c>
      <c r="I15">
        <v>0</v>
      </c>
      <c r="J15">
        <v>0</v>
      </c>
      <c r="K15">
        <v>0</v>
      </c>
      <c r="L15" t="str">
        <f>VLOOKUP(G15,consolodiado!A:C,3,0)</f>
        <v>04</v>
      </c>
      <c r="M15" t="str">
        <f>VLOOKUP(G15,consolodiado!A:D,4,0)</f>
        <v>85</v>
      </c>
    </row>
    <row r="16" spans="1:13" x14ac:dyDescent="0.25">
      <c r="A16" s="39" t="s">
        <v>113</v>
      </c>
      <c r="B16" s="13">
        <v>24935</v>
      </c>
      <c r="C16" s="13">
        <v>0</v>
      </c>
      <c r="D16" s="13">
        <v>0</v>
      </c>
      <c r="E16" s="13">
        <v>0</v>
      </c>
      <c r="G16" t="s">
        <v>113</v>
      </c>
      <c r="H16">
        <v>24935</v>
      </c>
      <c r="I16">
        <v>0</v>
      </c>
      <c r="J16">
        <v>0</v>
      </c>
      <c r="K16">
        <v>0</v>
      </c>
      <c r="L16" t="str">
        <f>VLOOKUP(G16,consolodiado!A:C,3,0)</f>
        <v>04</v>
      </c>
      <c r="M16" t="str">
        <f>VLOOKUP(G16,consolodiado!A:D,4,0)</f>
        <v>85</v>
      </c>
    </row>
    <row r="17" spans="1:13" x14ac:dyDescent="0.25">
      <c r="A17" s="39" t="s">
        <v>66</v>
      </c>
      <c r="B17" s="13">
        <v>43510</v>
      </c>
      <c r="C17" s="13">
        <v>0</v>
      </c>
      <c r="D17" s="13">
        <v>0</v>
      </c>
      <c r="E17" s="13">
        <v>0</v>
      </c>
      <c r="G17" t="s">
        <v>66</v>
      </c>
      <c r="H17">
        <v>43510</v>
      </c>
      <c r="I17">
        <v>0</v>
      </c>
      <c r="J17">
        <v>0</v>
      </c>
      <c r="K17">
        <v>0</v>
      </c>
      <c r="L17" t="str">
        <f>VLOOKUP(G17,consolodiado!A:C,3,0)</f>
        <v>04</v>
      </c>
      <c r="M17" t="str">
        <f>VLOOKUP(G17,consolodiado!A:D,4,0)</f>
        <v>85</v>
      </c>
    </row>
    <row r="18" spans="1:13" x14ac:dyDescent="0.25">
      <c r="A18" s="39" t="s">
        <v>133</v>
      </c>
      <c r="B18" s="13">
        <v>75000</v>
      </c>
      <c r="C18" s="13">
        <v>0</v>
      </c>
      <c r="D18" s="13">
        <v>0</v>
      </c>
      <c r="E18" s="13">
        <v>8000</v>
      </c>
      <c r="G18" t="s">
        <v>133</v>
      </c>
      <c r="H18">
        <v>75000</v>
      </c>
      <c r="I18">
        <v>0</v>
      </c>
      <c r="J18">
        <v>0</v>
      </c>
      <c r="K18">
        <v>8000</v>
      </c>
      <c r="L18" t="str">
        <f>VLOOKUP(G18,consolodiado!A:C,3,0)</f>
        <v>04</v>
      </c>
      <c r="M18" t="str">
        <f>VLOOKUP(G18,consolodiado!A:D,4,0)</f>
        <v>03</v>
      </c>
    </row>
    <row r="19" spans="1:13" x14ac:dyDescent="0.25">
      <c r="A19" s="39" t="s">
        <v>335</v>
      </c>
      <c r="B19" s="13">
        <v>88806</v>
      </c>
      <c r="C19" s="13">
        <v>0</v>
      </c>
      <c r="D19" s="13">
        <v>0</v>
      </c>
      <c r="E19" s="13">
        <v>0</v>
      </c>
      <c r="G19" t="s">
        <v>335</v>
      </c>
      <c r="H19">
        <v>88806</v>
      </c>
      <c r="I19">
        <v>0</v>
      </c>
      <c r="J19">
        <v>0</v>
      </c>
      <c r="K19">
        <v>0</v>
      </c>
      <c r="L19" t="str">
        <f>VLOOKUP(G19,consolodiado!A:C,3,0)</f>
        <v>04</v>
      </c>
      <c r="M19" t="str">
        <f>VLOOKUP(G19,consolodiado!A:D,4,0)</f>
        <v>85</v>
      </c>
    </row>
    <row r="20" spans="1:13" x14ac:dyDescent="0.25">
      <c r="A20" s="39" t="s">
        <v>324</v>
      </c>
      <c r="B20" s="13">
        <v>0</v>
      </c>
      <c r="C20" s="13">
        <v>376</v>
      </c>
      <c r="D20" s="13">
        <v>0</v>
      </c>
      <c r="E20" s="13">
        <v>0</v>
      </c>
      <c r="G20" t="s">
        <v>324</v>
      </c>
      <c r="H20">
        <v>0</v>
      </c>
      <c r="I20">
        <v>376</v>
      </c>
      <c r="J20">
        <v>0</v>
      </c>
      <c r="K20">
        <v>0</v>
      </c>
      <c r="L20" t="str">
        <f>VLOOKUP(G20,consolodiado!A:C,3,0)</f>
        <v>04</v>
      </c>
      <c r="M20" t="str">
        <f>VLOOKUP(G20,consolodiado!A:D,4,0)</f>
        <v>85</v>
      </c>
    </row>
    <row r="21" spans="1:13" x14ac:dyDescent="0.25">
      <c r="A21" s="39" t="s">
        <v>115</v>
      </c>
      <c r="B21" s="13">
        <v>0</v>
      </c>
      <c r="C21" s="13">
        <v>0</v>
      </c>
      <c r="D21" s="13">
        <v>58941</v>
      </c>
      <c r="E21" s="13">
        <v>0</v>
      </c>
      <c r="G21" t="s">
        <v>115</v>
      </c>
      <c r="H21">
        <v>0</v>
      </c>
      <c r="I21">
        <v>0</v>
      </c>
      <c r="J21">
        <v>58941</v>
      </c>
      <c r="K21">
        <v>0</v>
      </c>
      <c r="L21" t="str">
        <f>VLOOKUP(G21,consolodiado!A:C,3,0)</f>
        <v>04</v>
      </c>
      <c r="M21" t="str">
        <f>VLOOKUP(G21,consolodiado!A:D,4,0)</f>
        <v>03</v>
      </c>
    </row>
    <row r="22" spans="1:13" x14ac:dyDescent="0.25">
      <c r="A22" s="39" t="s">
        <v>111</v>
      </c>
      <c r="B22" s="13">
        <v>11130</v>
      </c>
      <c r="C22" s="13">
        <v>0</v>
      </c>
      <c r="D22" s="13">
        <v>0</v>
      </c>
      <c r="E22" s="13">
        <v>0</v>
      </c>
      <c r="G22" t="s">
        <v>111</v>
      </c>
      <c r="H22">
        <v>11130</v>
      </c>
      <c r="I22">
        <v>0</v>
      </c>
      <c r="J22">
        <v>0</v>
      </c>
      <c r="K22">
        <v>0</v>
      </c>
      <c r="L22" t="str">
        <f>VLOOKUP(G22,consolodiado!A:C,3,0)</f>
        <v>04</v>
      </c>
      <c r="M22" t="str">
        <f>VLOOKUP(G22,consolodiado!A:D,4,0)</f>
        <v>85</v>
      </c>
    </row>
    <row r="23" spans="1:13" x14ac:dyDescent="0.25">
      <c r="A23" s="39" t="s">
        <v>139</v>
      </c>
      <c r="B23" s="13">
        <v>3845</v>
      </c>
      <c r="C23" s="13">
        <v>0</v>
      </c>
      <c r="D23" s="13">
        <v>0</v>
      </c>
      <c r="E23" s="13">
        <v>0</v>
      </c>
      <c r="G23" t="s">
        <v>139</v>
      </c>
      <c r="H23">
        <v>3845</v>
      </c>
      <c r="I23">
        <v>0</v>
      </c>
      <c r="J23">
        <v>0</v>
      </c>
      <c r="K23">
        <v>0</v>
      </c>
      <c r="L23" t="str">
        <f>VLOOKUP(G23,consolodiado!A:C,3,0)</f>
        <v>04</v>
      </c>
      <c r="M23" t="str">
        <f>VLOOKUP(G23,consolodiado!A:D,4,0)</f>
        <v>85</v>
      </c>
    </row>
    <row r="24" spans="1:13" x14ac:dyDescent="0.25">
      <c r="A24" s="39" t="s">
        <v>109</v>
      </c>
      <c r="B24" s="13">
        <v>6608</v>
      </c>
      <c r="C24" s="13">
        <v>0</v>
      </c>
      <c r="D24" s="13">
        <v>0</v>
      </c>
      <c r="E24" s="13">
        <v>0</v>
      </c>
      <c r="G24" t="s">
        <v>109</v>
      </c>
      <c r="H24">
        <v>6608</v>
      </c>
      <c r="I24">
        <v>0</v>
      </c>
      <c r="J24">
        <v>0</v>
      </c>
      <c r="K24">
        <v>0</v>
      </c>
      <c r="L24" t="str">
        <f>VLOOKUP(G24,consolodiado!A:C,3,0)</f>
        <v>04</v>
      </c>
      <c r="M24" t="str">
        <f>VLOOKUP(G24,consolodiado!A:D,4,0)</f>
        <v>85</v>
      </c>
    </row>
    <row r="25" spans="1:13" x14ac:dyDescent="0.25">
      <c r="A25" s="39" t="s">
        <v>60</v>
      </c>
      <c r="B25" s="13">
        <v>36239</v>
      </c>
      <c r="C25" s="13">
        <v>0</v>
      </c>
      <c r="D25" s="13">
        <v>0</v>
      </c>
      <c r="E25" s="13">
        <v>0</v>
      </c>
      <c r="G25" t="s">
        <v>60</v>
      </c>
      <c r="H25">
        <v>36239</v>
      </c>
      <c r="I25">
        <v>0</v>
      </c>
      <c r="J25">
        <v>0</v>
      </c>
      <c r="K25">
        <v>0</v>
      </c>
      <c r="L25" t="str">
        <f>VLOOKUP(G25,consolodiado!A:C,3,0)</f>
        <v>04</v>
      </c>
      <c r="M25" t="str">
        <f>VLOOKUP(G25,consolodiado!A:D,4,0)</f>
        <v>85</v>
      </c>
    </row>
    <row r="26" spans="1:13" x14ac:dyDescent="0.25">
      <c r="A26" s="39" t="s">
        <v>339</v>
      </c>
      <c r="B26" s="13">
        <v>38935</v>
      </c>
      <c r="C26" s="13">
        <v>0</v>
      </c>
      <c r="D26" s="13">
        <v>0</v>
      </c>
      <c r="E26" s="13">
        <v>0</v>
      </c>
      <c r="G26" t="s">
        <v>339</v>
      </c>
      <c r="H26">
        <v>38935</v>
      </c>
      <c r="I26">
        <v>0</v>
      </c>
      <c r="J26">
        <v>0</v>
      </c>
      <c r="K26">
        <v>0</v>
      </c>
      <c r="L26" t="str">
        <f>VLOOKUP(G26,consolodiado!A:C,3,0)</f>
        <v>04</v>
      </c>
      <c r="M26" t="str">
        <f>VLOOKUP(G26,consolodiado!A:D,4,0)</f>
        <v>85</v>
      </c>
    </row>
    <row r="27" spans="1:13" x14ac:dyDescent="0.25">
      <c r="A27" s="39" t="s">
        <v>337</v>
      </c>
      <c r="B27" s="13">
        <v>3502</v>
      </c>
      <c r="C27" s="13">
        <v>0</v>
      </c>
      <c r="D27" s="13">
        <v>0</v>
      </c>
      <c r="E27" s="13">
        <v>0</v>
      </c>
      <c r="G27" t="s">
        <v>337</v>
      </c>
      <c r="H27">
        <v>3502</v>
      </c>
      <c r="I27">
        <v>0</v>
      </c>
      <c r="J27">
        <v>0</v>
      </c>
      <c r="K27">
        <v>0</v>
      </c>
      <c r="L27" t="str">
        <f>VLOOKUP(G27,consolodiado!A:C,3,0)</f>
        <v>04</v>
      </c>
      <c r="M27" t="str">
        <f>VLOOKUP(G27,consolodiado!A:D,4,0)</f>
        <v>85</v>
      </c>
    </row>
    <row r="28" spans="1:13" x14ac:dyDescent="0.25">
      <c r="A28" s="39" t="s">
        <v>108</v>
      </c>
      <c r="B28" s="13">
        <v>5110</v>
      </c>
      <c r="C28" s="13">
        <v>0</v>
      </c>
      <c r="D28" s="13">
        <v>0</v>
      </c>
      <c r="E28" s="13">
        <v>0</v>
      </c>
      <c r="G28" t="s">
        <v>108</v>
      </c>
      <c r="H28">
        <v>5110</v>
      </c>
      <c r="I28">
        <v>0</v>
      </c>
      <c r="J28">
        <v>0</v>
      </c>
      <c r="K28">
        <v>0</v>
      </c>
      <c r="L28" t="str">
        <f>VLOOKUP(G28,consolodiado!A:C,3,0)</f>
        <v>04</v>
      </c>
      <c r="M28" t="str">
        <f>VLOOKUP(G28,consolodiado!A:D,4,0)</f>
        <v>85</v>
      </c>
    </row>
    <row r="29" spans="1:13" x14ac:dyDescent="0.25">
      <c r="A29" s="39" t="s">
        <v>345</v>
      </c>
      <c r="B29" s="13">
        <v>210548</v>
      </c>
      <c r="C29" s="13">
        <v>0</v>
      </c>
      <c r="D29" s="13">
        <v>0</v>
      </c>
      <c r="E29" s="13">
        <v>0</v>
      </c>
      <c r="G29" t="s">
        <v>345</v>
      </c>
      <c r="H29">
        <v>210548</v>
      </c>
      <c r="I29">
        <v>0</v>
      </c>
      <c r="J29">
        <v>0</v>
      </c>
      <c r="K29">
        <v>0</v>
      </c>
      <c r="L29" t="str">
        <f>VLOOKUP(G29,consolodiado!A:C,3,0)</f>
        <v>04</v>
      </c>
      <c r="M29" t="str">
        <f>VLOOKUP(G29,consolodiado!A:D,4,0)</f>
        <v>85</v>
      </c>
    </row>
    <row r="30" spans="1:13" x14ac:dyDescent="0.25">
      <c r="A30" s="39" t="s">
        <v>172</v>
      </c>
      <c r="B30" s="13">
        <v>19215</v>
      </c>
      <c r="C30" s="13">
        <v>0</v>
      </c>
      <c r="D30" s="13">
        <v>0</v>
      </c>
      <c r="E30" s="13">
        <v>2050</v>
      </c>
      <c r="G30" t="s">
        <v>172</v>
      </c>
      <c r="H30">
        <v>19215</v>
      </c>
      <c r="I30">
        <v>0</v>
      </c>
      <c r="J30">
        <v>0</v>
      </c>
      <c r="K30">
        <v>2050</v>
      </c>
      <c r="L30" t="str">
        <f>VLOOKUP(G30,consolodiado!A:C,3,0)</f>
        <v>04</v>
      </c>
      <c r="M30" t="str">
        <f>VLOOKUP(G30,consolodiado!A:D,4,0)</f>
        <v>03</v>
      </c>
    </row>
    <row r="31" spans="1:13" x14ac:dyDescent="0.25">
      <c r="A31" s="39" t="s">
        <v>376</v>
      </c>
      <c r="B31" s="13">
        <v>0</v>
      </c>
      <c r="C31" s="13">
        <v>0</v>
      </c>
      <c r="D31" s="13">
        <v>70000</v>
      </c>
      <c r="E31" s="13">
        <v>0</v>
      </c>
      <c r="G31" t="s">
        <v>376</v>
      </c>
      <c r="H31">
        <v>0</v>
      </c>
      <c r="I31">
        <v>0</v>
      </c>
      <c r="J31">
        <v>70000</v>
      </c>
      <c r="K31">
        <v>0</v>
      </c>
      <c r="L31" t="str">
        <f>VLOOKUP(G31,consolodiado!A:C,3,0)</f>
        <v>04</v>
      </c>
      <c r="M31" t="str">
        <f>VLOOKUP(G31,consolodiado!A:D,4,0)</f>
        <v>85</v>
      </c>
    </row>
    <row r="32" spans="1:13" x14ac:dyDescent="0.25">
      <c r="A32" s="39" t="s">
        <v>128</v>
      </c>
      <c r="B32" s="13">
        <v>19000</v>
      </c>
      <c r="C32" s="13">
        <v>0</v>
      </c>
      <c r="D32" s="13">
        <v>0</v>
      </c>
      <c r="E32" s="13">
        <v>2027</v>
      </c>
      <c r="G32" t="s">
        <v>128</v>
      </c>
      <c r="H32">
        <v>19000</v>
      </c>
      <c r="I32">
        <v>0</v>
      </c>
      <c r="J32">
        <v>0</v>
      </c>
      <c r="K32">
        <v>2027</v>
      </c>
      <c r="L32" t="str">
        <f>VLOOKUP(G32,consolodiado!A:C,3,0)</f>
        <v>04</v>
      </c>
      <c r="M32" t="str">
        <f>VLOOKUP(G32,consolodiado!A:D,4,0)</f>
        <v>03</v>
      </c>
    </row>
    <row r="33" spans="1:13" x14ac:dyDescent="0.25">
      <c r="A33" s="39" t="s">
        <v>320</v>
      </c>
      <c r="B33" s="13">
        <v>0</v>
      </c>
      <c r="C33" s="13">
        <v>0</v>
      </c>
      <c r="D33" s="13">
        <v>12205</v>
      </c>
      <c r="E33" s="13">
        <v>0</v>
      </c>
      <c r="G33" t="s">
        <v>320</v>
      </c>
      <c r="H33">
        <v>0</v>
      </c>
      <c r="I33">
        <v>0</v>
      </c>
      <c r="J33">
        <v>12205</v>
      </c>
      <c r="K33">
        <v>0</v>
      </c>
      <c r="L33" t="str">
        <f>VLOOKUP(G33,consolodiado!A:C,3,0)</f>
        <v>04</v>
      </c>
      <c r="M33" t="str">
        <f>VLOOKUP(G33,consolodiado!A:D,4,0)</f>
        <v>03</v>
      </c>
    </row>
    <row r="34" spans="1:13" x14ac:dyDescent="0.25">
      <c r="A34" s="39" t="s">
        <v>251</v>
      </c>
      <c r="B34" s="13">
        <v>0</v>
      </c>
      <c r="C34" s="13">
        <v>0</v>
      </c>
      <c r="D34" s="13">
        <v>2000</v>
      </c>
      <c r="E34" s="13">
        <v>0</v>
      </c>
      <c r="G34" t="s">
        <v>251</v>
      </c>
      <c r="H34">
        <v>0</v>
      </c>
      <c r="I34">
        <v>0</v>
      </c>
      <c r="J34">
        <v>2000</v>
      </c>
      <c r="K34">
        <v>0</v>
      </c>
      <c r="L34" t="str">
        <f>VLOOKUP(G34,consolodiado!A:C,3,0)</f>
        <v>04</v>
      </c>
      <c r="M34" t="str">
        <f>VLOOKUP(G34,consolodiado!A:D,4,0)</f>
        <v>85</v>
      </c>
    </row>
    <row r="35" spans="1:13" x14ac:dyDescent="0.25">
      <c r="A35" s="39" t="s">
        <v>171</v>
      </c>
      <c r="B35" s="13">
        <v>26999</v>
      </c>
      <c r="C35" s="13">
        <v>0</v>
      </c>
      <c r="D35" s="13">
        <v>0</v>
      </c>
      <c r="E35" s="13">
        <v>0</v>
      </c>
      <c r="G35" t="s">
        <v>171</v>
      </c>
      <c r="H35">
        <v>26999</v>
      </c>
      <c r="I35">
        <v>0</v>
      </c>
      <c r="J35">
        <v>0</v>
      </c>
      <c r="K35">
        <v>0</v>
      </c>
      <c r="L35" t="str">
        <f>VLOOKUP(G35,consolodiado!A:C,3,0)</f>
        <v>04</v>
      </c>
      <c r="M35" t="str">
        <f>VLOOKUP(G35,consolodiado!A:D,4,0)</f>
        <v>85</v>
      </c>
    </row>
    <row r="36" spans="1:13" x14ac:dyDescent="0.25">
      <c r="A36" s="39" t="s">
        <v>349</v>
      </c>
      <c r="B36" s="13">
        <v>22950</v>
      </c>
      <c r="C36" s="13">
        <v>0</v>
      </c>
      <c r="D36" s="13">
        <v>0</v>
      </c>
      <c r="E36" s="13">
        <v>0</v>
      </c>
      <c r="G36" t="s">
        <v>349</v>
      </c>
      <c r="H36">
        <v>22950</v>
      </c>
      <c r="I36">
        <v>0</v>
      </c>
      <c r="J36">
        <v>0</v>
      </c>
      <c r="K36">
        <v>0</v>
      </c>
      <c r="L36" t="str">
        <f>VLOOKUP(G36,consolodiado!A:C,3,0)</f>
        <v>04</v>
      </c>
      <c r="M36" t="str">
        <f>VLOOKUP(G36,consolodiado!A:D,4,0)</f>
        <v>85</v>
      </c>
    </row>
    <row r="37" spans="1:13" x14ac:dyDescent="0.25">
      <c r="A37" s="39" t="s">
        <v>281</v>
      </c>
      <c r="B37" s="13">
        <v>422</v>
      </c>
      <c r="C37" s="13">
        <v>0</v>
      </c>
      <c r="D37" s="13">
        <v>0</v>
      </c>
      <c r="E37" s="13">
        <v>0</v>
      </c>
      <c r="G37" t="s">
        <v>281</v>
      </c>
      <c r="H37">
        <v>422</v>
      </c>
      <c r="I37">
        <v>0</v>
      </c>
      <c r="J37">
        <v>0</v>
      </c>
      <c r="K37">
        <v>0</v>
      </c>
      <c r="L37" t="str">
        <f>VLOOKUP(G37,consolodiado!A:C,3,0)</f>
        <v>04</v>
      </c>
      <c r="M37" t="str">
        <f>VLOOKUP(G37,consolodiado!A:D,4,0)</f>
        <v>85</v>
      </c>
    </row>
    <row r="38" spans="1:13" x14ac:dyDescent="0.25">
      <c r="A38" s="39" t="s">
        <v>341</v>
      </c>
      <c r="B38" s="13">
        <v>4600</v>
      </c>
      <c r="C38" s="13">
        <v>0</v>
      </c>
      <c r="D38" s="13">
        <v>0</v>
      </c>
      <c r="E38" s="13">
        <v>0</v>
      </c>
      <c r="G38" t="s">
        <v>341</v>
      </c>
      <c r="H38">
        <v>4600</v>
      </c>
      <c r="I38">
        <v>0</v>
      </c>
      <c r="J38">
        <v>0</v>
      </c>
      <c r="K38">
        <v>0</v>
      </c>
      <c r="L38" t="str">
        <f>VLOOKUP(G38,consolodiado!A:C,3,0)</f>
        <v>04</v>
      </c>
      <c r="M38" t="str">
        <f>VLOOKUP(G38,consolodiado!A:D,4,0)</f>
        <v>85</v>
      </c>
    </row>
    <row r="39" spans="1:13" x14ac:dyDescent="0.25">
      <c r="A39" s="39" t="s">
        <v>351</v>
      </c>
      <c r="B39" s="13">
        <v>0</v>
      </c>
      <c r="C39" s="13">
        <v>403</v>
      </c>
      <c r="D39" s="13">
        <v>0</v>
      </c>
      <c r="E39" s="13">
        <v>0</v>
      </c>
      <c r="G39" t="s">
        <v>351</v>
      </c>
      <c r="H39">
        <v>0</v>
      </c>
      <c r="I39">
        <v>403</v>
      </c>
      <c r="J39">
        <v>0</v>
      </c>
      <c r="K39">
        <v>0</v>
      </c>
      <c r="L39" t="str">
        <f>VLOOKUP(G39,consolodiado!A:C,3,0)</f>
        <v>04</v>
      </c>
      <c r="M39" t="str">
        <f>VLOOKUP(G39,consolodiado!A:D,4,0)</f>
        <v>85</v>
      </c>
    </row>
    <row r="40" spans="1:13" x14ac:dyDescent="0.25">
      <c r="A40" s="39" t="s">
        <v>116</v>
      </c>
      <c r="B40" s="13">
        <v>0</v>
      </c>
      <c r="C40" s="13">
        <v>285376</v>
      </c>
      <c r="D40" s="13">
        <v>0</v>
      </c>
      <c r="E40" s="13">
        <v>0</v>
      </c>
      <c r="G40" t="s">
        <v>116</v>
      </c>
      <c r="H40">
        <v>0</v>
      </c>
      <c r="I40">
        <v>285376</v>
      </c>
      <c r="J40">
        <v>0</v>
      </c>
      <c r="K40">
        <v>0</v>
      </c>
      <c r="L40" t="str">
        <f>VLOOKUP(G40,consolodiado!A:C,3,0)</f>
        <v>04</v>
      </c>
      <c r="M40" t="str">
        <f>VLOOKUP(G40,consolodiado!A:D,4,0)</f>
        <v>85</v>
      </c>
    </row>
    <row r="41" spans="1:13" x14ac:dyDescent="0.25">
      <c r="A41" s="39" t="s">
        <v>299</v>
      </c>
      <c r="B41" s="13">
        <v>0</v>
      </c>
      <c r="C41" s="13">
        <v>0</v>
      </c>
      <c r="D41" s="13">
        <v>280000</v>
      </c>
      <c r="E41" s="13">
        <v>0</v>
      </c>
      <c r="G41" t="s">
        <v>299</v>
      </c>
      <c r="H41">
        <v>0</v>
      </c>
      <c r="I41">
        <v>0</v>
      </c>
      <c r="J41">
        <v>280000</v>
      </c>
      <c r="K41">
        <v>0</v>
      </c>
      <c r="L41" t="str">
        <f>VLOOKUP(G41,consolodiado!A:C,3,0)</f>
        <v>04</v>
      </c>
      <c r="M41" t="str">
        <f>VLOOKUP(G41,consolodiado!A:D,4,0)</f>
        <v>03</v>
      </c>
    </row>
    <row r="42" spans="1:13" x14ac:dyDescent="0.25">
      <c r="A42" s="39" t="s">
        <v>62</v>
      </c>
      <c r="B42" s="13">
        <v>110517</v>
      </c>
      <c r="C42" s="13">
        <v>0</v>
      </c>
      <c r="D42" s="13">
        <v>0</v>
      </c>
      <c r="E42" s="13">
        <v>0</v>
      </c>
      <c r="G42" t="s">
        <v>62</v>
      </c>
      <c r="H42">
        <v>110517</v>
      </c>
      <c r="I42">
        <v>0</v>
      </c>
      <c r="J42">
        <v>0</v>
      </c>
      <c r="K42">
        <v>0</v>
      </c>
      <c r="L42" t="str">
        <f>VLOOKUP(G42,consolodiado!A:C,3,0)</f>
        <v>04</v>
      </c>
      <c r="M42" t="str">
        <f>VLOOKUP(G42,consolodiado!A:D,4,0)</f>
        <v>85</v>
      </c>
    </row>
    <row r="43" spans="1:13" x14ac:dyDescent="0.25">
      <c r="A43" s="39" t="s">
        <v>310</v>
      </c>
      <c r="B43" s="13">
        <v>0</v>
      </c>
      <c r="C43" s="13">
        <v>0</v>
      </c>
      <c r="D43" s="13">
        <v>280000</v>
      </c>
      <c r="E43" s="13">
        <v>0</v>
      </c>
      <c r="G43" t="s">
        <v>310</v>
      </c>
      <c r="H43">
        <v>0</v>
      </c>
      <c r="I43">
        <v>0</v>
      </c>
      <c r="J43">
        <v>280000</v>
      </c>
      <c r="K43">
        <v>0</v>
      </c>
      <c r="L43" t="str">
        <f>VLOOKUP(G43,consolodiado!A:C,3,0)</f>
        <v>04</v>
      </c>
      <c r="M43" t="str">
        <f>VLOOKUP(G43,consolodiado!A:D,4,0)</f>
        <v>03</v>
      </c>
    </row>
    <row r="44" spans="1:13" x14ac:dyDescent="0.25">
      <c r="A44" s="39" t="s">
        <v>61</v>
      </c>
      <c r="B44" s="13">
        <v>5099</v>
      </c>
      <c r="C44" s="13">
        <v>25700</v>
      </c>
      <c r="D44" s="13">
        <v>0</v>
      </c>
      <c r="E44" s="13">
        <v>0</v>
      </c>
      <c r="G44" t="s">
        <v>61</v>
      </c>
      <c r="H44">
        <v>5099</v>
      </c>
      <c r="I44">
        <v>25700</v>
      </c>
      <c r="J44">
        <v>0</v>
      </c>
      <c r="K44">
        <v>0</v>
      </c>
      <c r="L44" t="str">
        <f>VLOOKUP(G44,consolodiado!A:C,3,0)</f>
        <v>04</v>
      </c>
      <c r="M44" t="str">
        <f>VLOOKUP(G44,consolodiado!A:D,4,0)</f>
        <v>85</v>
      </c>
    </row>
    <row r="45" spans="1:13" x14ac:dyDescent="0.25">
      <c r="A45" s="39" t="s">
        <v>261</v>
      </c>
      <c r="B45" s="13">
        <v>0</v>
      </c>
      <c r="C45" s="13">
        <v>130</v>
      </c>
      <c r="D45" s="13">
        <v>0</v>
      </c>
      <c r="E45" s="13">
        <v>0</v>
      </c>
      <c r="G45" t="s">
        <v>261</v>
      </c>
      <c r="H45">
        <v>0</v>
      </c>
      <c r="I45">
        <v>130</v>
      </c>
      <c r="J45">
        <v>0</v>
      </c>
      <c r="K45">
        <v>0</v>
      </c>
      <c r="L45" t="str">
        <f>VLOOKUP(G45,consolodiado!A:C,3,0)</f>
        <v>04</v>
      </c>
      <c r="M45" t="str">
        <f>VLOOKUP(G45,consolodiado!A:D,4,0)</f>
        <v>85</v>
      </c>
    </row>
    <row r="46" spans="1:13" x14ac:dyDescent="0.25">
      <c r="A46" s="39" t="s">
        <v>300</v>
      </c>
      <c r="B46" s="13">
        <v>1738</v>
      </c>
      <c r="C46" s="13">
        <v>4</v>
      </c>
      <c r="D46" s="13">
        <v>0</v>
      </c>
      <c r="E46" s="13">
        <v>0</v>
      </c>
      <c r="G46" t="s">
        <v>300</v>
      </c>
      <c r="H46">
        <v>1738</v>
      </c>
      <c r="I46">
        <v>4</v>
      </c>
      <c r="J46">
        <v>0</v>
      </c>
      <c r="K46">
        <v>0</v>
      </c>
      <c r="L46" t="str">
        <f>VLOOKUP(G46,consolodiado!A:C,3,0)</f>
        <v>04</v>
      </c>
      <c r="M46" t="str">
        <f>VLOOKUP(G46,consolodiado!A:D,4,0)</f>
        <v>85</v>
      </c>
    </row>
    <row r="47" spans="1:13" x14ac:dyDescent="0.25">
      <c r="A47" s="39" t="s">
        <v>119</v>
      </c>
      <c r="B47" s="13">
        <v>0</v>
      </c>
      <c r="C47" s="13">
        <v>18245</v>
      </c>
      <c r="D47" s="13">
        <v>0</v>
      </c>
      <c r="E47" s="13">
        <v>0</v>
      </c>
      <c r="G47" t="s">
        <v>119</v>
      </c>
      <c r="H47">
        <v>0</v>
      </c>
      <c r="I47">
        <v>18245</v>
      </c>
      <c r="J47">
        <v>0</v>
      </c>
      <c r="K47">
        <v>0</v>
      </c>
      <c r="L47" t="str">
        <f>VLOOKUP(G47,consolodiado!A:C,3,0)</f>
        <v>04</v>
      </c>
      <c r="M47" t="str">
        <f>VLOOKUP(G47,consolodiado!A:D,4,0)</f>
        <v>85</v>
      </c>
    </row>
    <row r="48" spans="1:13" x14ac:dyDescent="0.25">
      <c r="A48" s="39" t="s">
        <v>64</v>
      </c>
      <c r="B48" s="13">
        <v>0</v>
      </c>
      <c r="C48" s="13">
        <v>1705074</v>
      </c>
      <c r="D48" s="13">
        <v>0</v>
      </c>
      <c r="E48" s="13">
        <v>0</v>
      </c>
      <c r="G48" t="s">
        <v>64</v>
      </c>
      <c r="H48">
        <v>0</v>
      </c>
      <c r="I48">
        <v>1705074</v>
      </c>
      <c r="J48">
        <v>0</v>
      </c>
      <c r="K48">
        <v>0</v>
      </c>
      <c r="L48" t="str">
        <f>VLOOKUP(G48,consolodiado!A:C,3,0)</f>
        <v>04</v>
      </c>
      <c r="M48" t="str">
        <f>VLOOKUP(G48,consolodiado!A:D,4,0)</f>
        <v>85</v>
      </c>
    </row>
    <row r="49" spans="1:13" x14ac:dyDescent="0.25">
      <c r="A49" s="39" t="s">
        <v>63</v>
      </c>
      <c r="B49" s="13">
        <v>0</v>
      </c>
      <c r="C49" s="13">
        <v>1750081</v>
      </c>
      <c r="D49" s="13">
        <v>0</v>
      </c>
      <c r="E49" s="13">
        <v>0</v>
      </c>
      <c r="G49" t="s">
        <v>63</v>
      </c>
      <c r="H49">
        <v>0</v>
      </c>
      <c r="I49">
        <v>1750081</v>
      </c>
      <c r="J49">
        <v>0</v>
      </c>
      <c r="K49">
        <v>0</v>
      </c>
      <c r="L49" t="str">
        <f>VLOOKUP(G49,consolodiado!A:C,3,0)</f>
        <v>04</v>
      </c>
      <c r="M49" t="str">
        <f>VLOOKUP(G49,consolodiado!A:D,4,0)</f>
        <v>85</v>
      </c>
    </row>
    <row r="50" spans="1:13" x14ac:dyDescent="0.25">
      <c r="A50" s="39" t="s">
        <v>283</v>
      </c>
      <c r="B50" s="13">
        <v>5185</v>
      </c>
      <c r="C50" s="13">
        <v>0</v>
      </c>
      <c r="D50" s="13">
        <v>0</v>
      </c>
      <c r="E50" s="13">
        <v>0</v>
      </c>
      <c r="G50" t="s">
        <v>283</v>
      </c>
      <c r="H50">
        <v>5185</v>
      </c>
      <c r="I50">
        <v>0</v>
      </c>
      <c r="J50">
        <v>0</v>
      </c>
      <c r="K50">
        <v>0</v>
      </c>
      <c r="L50" t="str">
        <f>VLOOKUP(G50,consolodiado!A:C,3,0)</f>
        <v>04</v>
      </c>
      <c r="M50" t="str">
        <f>VLOOKUP(G50,consolodiado!A:D,4,0)</f>
        <v>85</v>
      </c>
    </row>
    <row r="51" spans="1:13" x14ac:dyDescent="0.25">
      <c r="A51" s="39" t="s">
        <v>135</v>
      </c>
      <c r="B51" s="13">
        <v>13352</v>
      </c>
      <c r="C51" s="13">
        <v>0</v>
      </c>
      <c r="D51" s="13">
        <v>0</v>
      </c>
      <c r="E51" s="13">
        <v>0</v>
      </c>
      <c r="G51" t="s">
        <v>135</v>
      </c>
      <c r="H51">
        <v>13352</v>
      </c>
      <c r="I51">
        <v>0</v>
      </c>
      <c r="J51">
        <v>0</v>
      </c>
      <c r="K51">
        <v>0</v>
      </c>
      <c r="L51" t="str">
        <f>VLOOKUP(G51,consolodiado!A:C,3,0)</f>
        <v>04</v>
      </c>
      <c r="M51" t="str">
        <f>VLOOKUP(G51,consolodiado!A:D,4,0)</f>
        <v>85</v>
      </c>
    </row>
    <row r="52" spans="1:13" x14ac:dyDescent="0.25">
      <c r="A52" s="39" t="s">
        <v>120</v>
      </c>
      <c r="B52" s="13">
        <v>2086</v>
      </c>
      <c r="C52" s="13">
        <v>0</v>
      </c>
      <c r="D52" s="13">
        <v>0</v>
      </c>
      <c r="E52" s="13">
        <v>0</v>
      </c>
      <c r="G52" t="s">
        <v>120</v>
      </c>
      <c r="H52">
        <v>2086</v>
      </c>
      <c r="I52">
        <v>0</v>
      </c>
      <c r="J52">
        <v>0</v>
      </c>
      <c r="K52">
        <v>0</v>
      </c>
      <c r="L52" t="str">
        <f>VLOOKUP(G52,consolodiado!A:C,3,0)</f>
        <v>04</v>
      </c>
      <c r="M52" t="str">
        <f>VLOOKUP(G52,consolodiado!A:D,4,0)</f>
        <v>85</v>
      </c>
    </row>
    <row r="53" spans="1:13" x14ac:dyDescent="0.25">
      <c r="A53" s="39" t="s">
        <v>356</v>
      </c>
      <c r="B53" s="13">
        <v>0</v>
      </c>
      <c r="C53" s="13">
        <v>57000</v>
      </c>
      <c r="D53" s="13">
        <v>0</v>
      </c>
      <c r="E53" s="13">
        <v>0</v>
      </c>
      <c r="G53" t="s">
        <v>356</v>
      </c>
      <c r="H53">
        <v>0</v>
      </c>
      <c r="I53">
        <v>57000</v>
      </c>
      <c r="J53">
        <v>0</v>
      </c>
      <c r="K53">
        <v>0</v>
      </c>
      <c r="L53" t="str">
        <f>VLOOKUP(G53,consolodiado!A:C,3,0)</f>
        <v>04</v>
      </c>
      <c r="M53" t="str">
        <f>VLOOKUP(G53,consolodiado!A:D,4,0)</f>
        <v>85</v>
      </c>
    </row>
    <row r="54" spans="1:13" x14ac:dyDescent="0.25">
      <c r="A54" s="39" t="s">
        <v>302</v>
      </c>
      <c r="B54" s="13">
        <v>4618</v>
      </c>
      <c r="C54" s="13">
        <v>0</v>
      </c>
      <c r="D54" s="13">
        <v>0</v>
      </c>
      <c r="E54" s="13">
        <v>0</v>
      </c>
      <c r="G54" t="s">
        <v>302</v>
      </c>
      <c r="H54">
        <v>4618</v>
      </c>
      <c r="I54">
        <v>0</v>
      </c>
      <c r="J54">
        <v>0</v>
      </c>
      <c r="K54">
        <v>0</v>
      </c>
      <c r="L54" t="str">
        <f>VLOOKUP(G54,consolodiado!A:C,3,0)</f>
        <v>04</v>
      </c>
      <c r="M54" t="str">
        <f>VLOOKUP(G54,consolodiado!A:D,4,0)</f>
        <v>85</v>
      </c>
    </row>
    <row r="55" spans="1:13" x14ac:dyDescent="0.25">
      <c r="A55" s="39" t="s">
        <v>67</v>
      </c>
      <c r="B55" s="13">
        <v>0</v>
      </c>
      <c r="C55" s="13">
        <v>595780</v>
      </c>
      <c r="D55" s="13">
        <v>0</v>
      </c>
      <c r="E55" s="13">
        <v>0</v>
      </c>
      <c r="G55" t="s">
        <v>67</v>
      </c>
      <c r="H55">
        <v>0</v>
      </c>
      <c r="I55">
        <v>595780</v>
      </c>
      <c r="J55">
        <v>0</v>
      </c>
      <c r="K55">
        <v>0</v>
      </c>
      <c r="L55" t="str">
        <f>VLOOKUP(G55,consolodiado!A:C,3,0)</f>
        <v>04</v>
      </c>
      <c r="M55" t="str">
        <f>VLOOKUP(G55,consolodiado!A:D,4,0)</f>
        <v>85</v>
      </c>
    </row>
    <row r="56" spans="1:13" x14ac:dyDescent="0.25">
      <c r="A56" s="39" t="s">
        <v>358</v>
      </c>
      <c r="B56" s="13">
        <v>0</v>
      </c>
      <c r="C56" s="13">
        <v>1920</v>
      </c>
      <c r="D56" s="13">
        <v>0</v>
      </c>
      <c r="E56" s="13">
        <v>0</v>
      </c>
      <c r="G56" t="s">
        <v>358</v>
      </c>
      <c r="H56">
        <v>0</v>
      </c>
      <c r="I56">
        <v>1920</v>
      </c>
      <c r="J56">
        <v>0</v>
      </c>
      <c r="K56">
        <v>0</v>
      </c>
      <c r="L56" t="str">
        <f>VLOOKUP(G56,consolodiado!A:C,3,0)</f>
        <v>04</v>
      </c>
      <c r="M56" t="str">
        <f>VLOOKUP(G56,consolodiado!A:D,4,0)</f>
        <v>85</v>
      </c>
    </row>
    <row r="57" spans="1:13" x14ac:dyDescent="0.25">
      <c r="A57" s="39" t="s">
        <v>68</v>
      </c>
      <c r="B57" s="13">
        <v>34880</v>
      </c>
      <c r="C57" s="13">
        <v>0</v>
      </c>
      <c r="D57" s="13">
        <v>0</v>
      </c>
      <c r="E57" s="13">
        <v>0</v>
      </c>
      <c r="G57" t="s">
        <v>68</v>
      </c>
      <c r="H57">
        <v>34880</v>
      </c>
      <c r="I57">
        <v>0</v>
      </c>
      <c r="J57">
        <v>0</v>
      </c>
      <c r="K57">
        <v>0</v>
      </c>
      <c r="L57" t="str">
        <f>VLOOKUP(G57,consolodiado!A:C,3,0)</f>
        <v>04</v>
      </c>
      <c r="M57" t="str">
        <f>VLOOKUP(G57,consolodiado!A:D,4,0)</f>
        <v>85</v>
      </c>
    </row>
    <row r="58" spans="1:13" x14ac:dyDescent="0.25">
      <c r="A58" s="39" t="s">
        <v>263</v>
      </c>
      <c r="B58" s="13">
        <v>4200</v>
      </c>
      <c r="C58" s="13">
        <v>0</v>
      </c>
      <c r="D58" s="13">
        <v>0</v>
      </c>
      <c r="E58" s="13">
        <v>0</v>
      </c>
      <c r="G58" t="s">
        <v>263</v>
      </c>
      <c r="H58">
        <v>4200</v>
      </c>
      <c r="I58">
        <v>0</v>
      </c>
      <c r="J58">
        <v>0</v>
      </c>
      <c r="K58">
        <v>0</v>
      </c>
      <c r="L58" t="str">
        <f>VLOOKUP(G58,consolodiado!A:C,3,0)</f>
        <v>04</v>
      </c>
      <c r="M58" t="str">
        <f>VLOOKUP(G58,consolodiado!A:D,4,0)</f>
        <v>85</v>
      </c>
    </row>
    <row r="59" spans="1:13" x14ac:dyDescent="0.25">
      <c r="A59" s="39" t="s">
        <v>161</v>
      </c>
      <c r="B59" s="13">
        <v>85063</v>
      </c>
      <c r="C59" s="13">
        <v>0</v>
      </c>
      <c r="D59" s="13">
        <v>0</v>
      </c>
      <c r="E59" s="13">
        <v>0</v>
      </c>
      <c r="G59" t="s">
        <v>161</v>
      </c>
      <c r="H59">
        <v>85063</v>
      </c>
      <c r="I59">
        <v>0</v>
      </c>
      <c r="J59">
        <v>0</v>
      </c>
      <c r="K59">
        <v>0</v>
      </c>
      <c r="L59" t="str">
        <f>VLOOKUP(G59,consolodiado!A:C,3,0)</f>
        <v>04</v>
      </c>
      <c r="M59" t="str">
        <f>VLOOKUP(G59,consolodiado!A:D,4,0)</f>
        <v>85</v>
      </c>
    </row>
    <row r="60" spans="1:13" x14ac:dyDescent="0.25">
      <c r="A60" s="39" t="s">
        <v>132</v>
      </c>
      <c r="B60" s="13">
        <v>25272</v>
      </c>
      <c r="C60" s="13">
        <v>0</v>
      </c>
      <c r="D60" s="13">
        <v>0</v>
      </c>
      <c r="E60" s="13">
        <v>0</v>
      </c>
      <c r="G60" t="s">
        <v>132</v>
      </c>
      <c r="H60">
        <v>25272</v>
      </c>
      <c r="I60">
        <v>0</v>
      </c>
      <c r="J60">
        <v>0</v>
      </c>
      <c r="K60">
        <v>0</v>
      </c>
      <c r="L60" t="str">
        <f>VLOOKUP(G60,consolodiado!A:C,3,0)</f>
        <v>04</v>
      </c>
      <c r="M60" t="str">
        <f>VLOOKUP(G60,consolodiado!A:D,4,0)</f>
        <v>85</v>
      </c>
    </row>
    <row r="61" spans="1:13" x14ac:dyDescent="0.25">
      <c r="A61" s="39" t="s">
        <v>159</v>
      </c>
      <c r="B61" s="13">
        <v>8070</v>
      </c>
      <c r="C61" s="13">
        <v>0</v>
      </c>
      <c r="D61" s="13">
        <v>0</v>
      </c>
      <c r="E61" s="13">
        <v>861</v>
      </c>
      <c r="G61" t="s">
        <v>159</v>
      </c>
      <c r="H61">
        <v>8070</v>
      </c>
      <c r="I61">
        <v>0</v>
      </c>
      <c r="J61">
        <v>0</v>
      </c>
      <c r="K61">
        <v>861</v>
      </c>
      <c r="L61" t="str">
        <f>VLOOKUP(G61,consolodiado!A:C,3,0)</f>
        <v>04</v>
      </c>
      <c r="M61" t="str">
        <f>VLOOKUP(G61,consolodiado!A:D,4,0)</f>
        <v>03</v>
      </c>
    </row>
    <row r="62" spans="1:13" x14ac:dyDescent="0.25">
      <c r="A62" s="39" t="s">
        <v>360</v>
      </c>
      <c r="B62" s="13">
        <v>0</v>
      </c>
      <c r="C62" s="13">
        <v>0</v>
      </c>
      <c r="D62" s="13">
        <v>676860</v>
      </c>
      <c r="E62" s="13">
        <v>0</v>
      </c>
      <c r="G62" t="s">
        <v>360</v>
      </c>
      <c r="H62">
        <v>0</v>
      </c>
      <c r="I62">
        <v>0</v>
      </c>
      <c r="J62">
        <v>676860</v>
      </c>
      <c r="K62">
        <v>0</v>
      </c>
      <c r="L62" t="str">
        <f>VLOOKUP(G62,consolodiado!A:C,3,0)</f>
        <v>04</v>
      </c>
      <c r="M62" t="str">
        <f>VLOOKUP(G62,consolodiado!A:D,4,0)</f>
        <v>03</v>
      </c>
    </row>
    <row r="63" spans="1:13" x14ac:dyDescent="0.25">
      <c r="A63" s="39" t="s">
        <v>318</v>
      </c>
      <c r="B63" s="13">
        <v>0</v>
      </c>
      <c r="C63" s="13">
        <v>0</v>
      </c>
      <c r="D63" s="13">
        <v>1898</v>
      </c>
      <c r="E63" s="13">
        <v>0</v>
      </c>
      <c r="G63" t="s">
        <v>318</v>
      </c>
      <c r="H63">
        <v>0</v>
      </c>
      <c r="I63">
        <v>0</v>
      </c>
      <c r="J63">
        <v>1898</v>
      </c>
      <c r="K63">
        <v>0</v>
      </c>
      <c r="L63" t="str">
        <f>VLOOKUP(G63,consolodiado!A:C,3,0)</f>
        <v>04</v>
      </c>
      <c r="M63" t="str">
        <f>VLOOKUP(G63,consolodiado!A:D,4,0)</f>
        <v>03</v>
      </c>
    </row>
    <row r="64" spans="1:13" x14ac:dyDescent="0.25">
      <c r="A64" s="39" t="s">
        <v>122</v>
      </c>
      <c r="B64" s="13">
        <v>0</v>
      </c>
      <c r="C64" s="13">
        <v>591565</v>
      </c>
      <c r="D64" s="13">
        <v>0</v>
      </c>
      <c r="E64" s="13">
        <v>0</v>
      </c>
      <c r="G64" t="s">
        <v>122</v>
      </c>
      <c r="H64">
        <v>0</v>
      </c>
      <c r="I64">
        <v>591565</v>
      </c>
      <c r="J64">
        <v>0</v>
      </c>
      <c r="K64">
        <v>0</v>
      </c>
      <c r="L64" t="str">
        <f>VLOOKUP(G64,consolodiado!A:C,3,0)</f>
        <v>04</v>
      </c>
      <c r="M64" t="str">
        <f>VLOOKUP(G64,consolodiado!A:D,4,0)</f>
        <v>85</v>
      </c>
    </row>
    <row r="65" spans="1:13" x14ac:dyDescent="0.25">
      <c r="A65" s="39" t="s">
        <v>162</v>
      </c>
      <c r="B65" s="13">
        <v>0</v>
      </c>
      <c r="C65" s="13">
        <v>0</v>
      </c>
      <c r="D65" s="13">
        <v>63538</v>
      </c>
      <c r="E65" s="13">
        <v>0</v>
      </c>
      <c r="G65" t="s">
        <v>162</v>
      </c>
      <c r="H65">
        <v>0</v>
      </c>
      <c r="I65">
        <v>0</v>
      </c>
      <c r="J65">
        <v>63538</v>
      </c>
      <c r="K65">
        <v>0</v>
      </c>
      <c r="L65" t="str">
        <f>VLOOKUP(G65,consolodiado!A:C,3,0)</f>
        <v>04</v>
      </c>
      <c r="M65" t="str">
        <f>VLOOKUP(G65,consolodiado!A:D,4,0)</f>
        <v>03</v>
      </c>
    </row>
    <row r="66" spans="1:13" x14ac:dyDescent="0.25">
      <c r="A66" s="39" t="s">
        <v>372</v>
      </c>
      <c r="B66" s="13">
        <v>4466</v>
      </c>
      <c r="C66" s="13">
        <v>0</v>
      </c>
      <c r="D66" s="13">
        <v>0</v>
      </c>
      <c r="E66" s="13">
        <v>0</v>
      </c>
      <c r="G66" t="s">
        <v>372</v>
      </c>
      <c r="H66">
        <v>4466</v>
      </c>
      <c r="I66">
        <v>0</v>
      </c>
      <c r="J66">
        <v>0</v>
      </c>
      <c r="K66">
        <v>0</v>
      </c>
      <c r="L66" t="str">
        <f>VLOOKUP(G66,consolodiado!A:C,3,0)</f>
        <v>04</v>
      </c>
      <c r="M66" t="str">
        <f>VLOOKUP(G66,consolodiado!A:D,4,0)</f>
        <v>85</v>
      </c>
    </row>
    <row r="67" spans="1:13" x14ac:dyDescent="0.25">
      <c r="A67" s="39" t="s">
        <v>306</v>
      </c>
      <c r="B67" s="13">
        <v>3017</v>
      </c>
      <c r="C67" s="13">
        <v>0</v>
      </c>
      <c r="D67" s="13">
        <v>0</v>
      </c>
      <c r="E67" s="13">
        <v>0</v>
      </c>
      <c r="G67" t="s">
        <v>306</v>
      </c>
      <c r="H67">
        <v>3017</v>
      </c>
      <c r="I67">
        <v>0</v>
      </c>
      <c r="J67">
        <v>0</v>
      </c>
      <c r="K67">
        <v>0</v>
      </c>
      <c r="L67" t="str">
        <f>VLOOKUP(G67,consolodiado!A:C,3,0)</f>
        <v>04</v>
      </c>
      <c r="M67" t="str">
        <f>VLOOKUP(G67,consolodiado!A:D,4,0)</f>
        <v>85</v>
      </c>
    </row>
    <row r="68" spans="1:13" x14ac:dyDescent="0.25">
      <c r="A68" s="39" t="s">
        <v>117</v>
      </c>
      <c r="B68" s="13">
        <v>0</v>
      </c>
      <c r="C68" s="13">
        <v>0</v>
      </c>
      <c r="D68" s="13">
        <v>150783</v>
      </c>
      <c r="E68" s="13">
        <v>0</v>
      </c>
      <c r="G68" t="s">
        <v>117</v>
      </c>
      <c r="H68">
        <v>0</v>
      </c>
      <c r="I68">
        <v>0</v>
      </c>
      <c r="J68">
        <v>150783</v>
      </c>
      <c r="K68">
        <v>0</v>
      </c>
      <c r="L68" t="str">
        <f>VLOOKUP(G68,consolodiado!A:C,3,0)</f>
        <v>04</v>
      </c>
      <c r="M68" t="str">
        <f>VLOOKUP(G68,consolodiado!A:D,4,0)</f>
        <v>03</v>
      </c>
    </row>
    <row r="69" spans="1:13" x14ac:dyDescent="0.25">
      <c r="A69" s="39" t="s">
        <v>72</v>
      </c>
      <c r="B69" s="13">
        <v>1800</v>
      </c>
      <c r="C69" s="13">
        <v>0</v>
      </c>
      <c r="D69" s="13">
        <v>0</v>
      </c>
      <c r="E69" s="13">
        <v>192</v>
      </c>
      <c r="G69" t="s">
        <v>72</v>
      </c>
      <c r="H69">
        <v>1800</v>
      </c>
      <c r="I69">
        <v>0</v>
      </c>
      <c r="J69">
        <v>0</v>
      </c>
      <c r="K69">
        <v>192</v>
      </c>
      <c r="L69" t="str">
        <f>VLOOKUP(G69,consolodiado!A:C,3,0)</f>
        <v>04</v>
      </c>
      <c r="M69" t="str">
        <f>VLOOKUP(G69,consolodiado!A:D,4,0)</f>
        <v>03</v>
      </c>
    </row>
    <row r="70" spans="1:13" x14ac:dyDescent="0.25">
      <c r="A70" s="39" t="s">
        <v>174</v>
      </c>
      <c r="B70" s="13">
        <v>2420</v>
      </c>
      <c r="C70" s="13">
        <v>0</v>
      </c>
      <c r="D70" s="13">
        <v>0</v>
      </c>
      <c r="E70" s="13">
        <v>0</v>
      </c>
      <c r="G70" t="s">
        <v>174</v>
      </c>
      <c r="H70">
        <v>2420</v>
      </c>
      <c r="I70">
        <v>0</v>
      </c>
      <c r="J70">
        <v>0</v>
      </c>
      <c r="K70">
        <v>0</v>
      </c>
      <c r="L70" t="str">
        <f>VLOOKUP(G70,consolodiado!A:C,3,0)</f>
        <v>04</v>
      </c>
      <c r="M70" t="str">
        <f>VLOOKUP(G70,consolodiado!A:D,4,0)</f>
        <v>85</v>
      </c>
    </row>
    <row r="71" spans="1:13" x14ac:dyDescent="0.25">
      <c r="A71" s="39" t="s">
        <v>308</v>
      </c>
      <c r="B71" s="13">
        <v>67594</v>
      </c>
      <c r="C71" s="13">
        <v>0</v>
      </c>
      <c r="D71" s="13">
        <v>0</v>
      </c>
      <c r="E71" s="13">
        <v>0</v>
      </c>
      <c r="G71" t="s">
        <v>308</v>
      </c>
      <c r="H71">
        <v>67594</v>
      </c>
      <c r="I71">
        <v>0</v>
      </c>
      <c r="J71">
        <v>0</v>
      </c>
      <c r="K71">
        <v>0</v>
      </c>
      <c r="L71" t="str">
        <f>VLOOKUP(G71,consolodiado!A:C,3,0)</f>
        <v>04</v>
      </c>
      <c r="M71" t="str">
        <f>VLOOKUP(G71,consolodiado!A:D,4,0)</f>
        <v>85</v>
      </c>
    </row>
    <row r="72" spans="1:13" x14ac:dyDescent="0.25">
      <c r="A72" s="39" t="s">
        <v>70</v>
      </c>
      <c r="B72" s="13">
        <v>7459</v>
      </c>
      <c r="C72" s="13">
        <v>0</v>
      </c>
      <c r="D72" s="13">
        <v>0</v>
      </c>
      <c r="E72" s="13">
        <v>0</v>
      </c>
      <c r="G72" t="s">
        <v>70</v>
      </c>
      <c r="H72">
        <v>7459</v>
      </c>
      <c r="I72">
        <v>0</v>
      </c>
      <c r="J72">
        <v>0</v>
      </c>
      <c r="K72">
        <v>0</v>
      </c>
      <c r="L72" t="str">
        <f>VLOOKUP(G72,consolodiado!A:C,3,0)</f>
        <v>04</v>
      </c>
      <c r="M72" t="str">
        <f>VLOOKUP(G72,consolodiado!A:D,4,0)</f>
        <v>85</v>
      </c>
    </row>
    <row r="73" spans="1:13" x14ac:dyDescent="0.25">
      <c r="A73" s="39" t="s">
        <v>267</v>
      </c>
      <c r="B73" s="13">
        <v>288</v>
      </c>
      <c r="C73" s="13">
        <v>0</v>
      </c>
      <c r="D73" s="13">
        <v>0</v>
      </c>
      <c r="E73" s="13">
        <v>0</v>
      </c>
      <c r="G73" t="s">
        <v>267</v>
      </c>
      <c r="H73">
        <v>288</v>
      </c>
      <c r="I73">
        <v>0</v>
      </c>
      <c r="J73">
        <v>0</v>
      </c>
      <c r="K73">
        <v>0</v>
      </c>
      <c r="L73" t="str">
        <f>VLOOKUP(G73,consolodiado!A:C,3,0)</f>
        <v>04</v>
      </c>
      <c r="M73" t="str">
        <f>VLOOKUP(G73,consolodiado!A:D,4,0)</f>
        <v>85</v>
      </c>
    </row>
    <row r="74" spans="1:13" x14ac:dyDescent="0.25">
      <c r="A74" s="39" t="s">
        <v>312</v>
      </c>
      <c r="B74" s="13">
        <v>0</v>
      </c>
      <c r="C74" s="13">
        <v>0</v>
      </c>
      <c r="D74" s="13">
        <v>4320</v>
      </c>
      <c r="E74" s="13">
        <v>0</v>
      </c>
      <c r="G74" t="s">
        <v>312</v>
      </c>
      <c r="H74">
        <v>0</v>
      </c>
      <c r="I74">
        <v>0</v>
      </c>
      <c r="J74">
        <v>4320</v>
      </c>
      <c r="K74">
        <v>0</v>
      </c>
      <c r="L74" t="str">
        <f>VLOOKUP(G74,consolodiado!A:C,3,0)</f>
        <v>04</v>
      </c>
      <c r="M74" t="str">
        <f>VLOOKUP(G74,consolodiado!A:D,4,0)</f>
        <v>85</v>
      </c>
    </row>
    <row r="75" spans="1:13" x14ac:dyDescent="0.25">
      <c r="A75" s="39" t="s">
        <v>124</v>
      </c>
      <c r="B75" s="13">
        <v>7250</v>
      </c>
      <c r="C75" s="13">
        <v>0</v>
      </c>
      <c r="D75" s="13">
        <v>0</v>
      </c>
      <c r="E75" s="13">
        <v>0</v>
      </c>
      <c r="G75" t="s">
        <v>124</v>
      </c>
      <c r="H75">
        <v>7250</v>
      </c>
      <c r="I75">
        <v>0</v>
      </c>
      <c r="J75">
        <v>0</v>
      </c>
      <c r="K75">
        <v>0</v>
      </c>
      <c r="L75" t="str">
        <f>VLOOKUP(G75,consolodiado!A:C,3,0)</f>
        <v>04</v>
      </c>
      <c r="M75" t="str">
        <f>VLOOKUP(G75,consolodiado!A:D,4,0)</f>
        <v>85</v>
      </c>
    </row>
    <row r="76" spans="1:13" x14ac:dyDescent="0.25">
      <c r="A76" s="39" t="s">
        <v>343</v>
      </c>
      <c r="B76" s="13">
        <v>2700</v>
      </c>
      <c r="C76" s="13">
        <v>0</v>
      </c>
      <c r="D76" s="13">
        <v>0</v>
      </c>
      <c r="E76" s="13">
        <v>0</v>
      </c>
      <c r="G76" t="s">
        <v>343</v>
      </c>
      <c r="H76">
        <v>2700</v>
      </c>
      <c r="I76">
        <v>0</v>
      </c>
      <c r="J76">
        <v>0</v>
      </c>
      <c r="K76">
        <v>0</v>
      </c>
      <c r="L76" t="str">
        <f>VLOOKUP(G76,consolodiado!A:C,3,0)</f>
        <v>04</v>
      </c>
      <c r="M76" t="str">
        <f>VLOOKUP(G76,consolodiado!A:D,4,0)</f>
        <v>85</v>
      </c>
    </row>
    <row r="77" spans="1:13" x14ac:dyDescent="0.25">
      <c r="A77" s="39" t="s">
        <v>329</v>
      </c>
      <c r="B77" s="13">
        <v>1054</v>
      </c>
      <c r="C77" s="13">
        <v>0</v>
      </c>
      <c r="D77" s="13">
        <v>0</v>
      </c>
      <c r="E77" s="13">
        <v>0</v>
      </c>
      <c r="G77" t="s">
        <v>329</v>
      </c>
      <c r="H77">
        <v>1054</v>
      </c>
      <c r="I77">
        <v>0</v>
      </c>
      <c r="J77">
        <v>0</v>
      </c>
      <c r="K77">
        <v>0</v>
      </c>
      <c r="L77" t="str">
        <f>VLOOKUP(G77,consolodiado!A:C,3,0)</f>
        <v>04</v>
      </c>
      <c r="M77" t="str">
        <f>VLOOKUP(G77,consolodiado!A:D,4,0)</f>
        <v>85</v>
      </c>
    </row>
    <row r="78" spans="1:13" x14ac:dyDescent="0.25">
      <c r="A78" s="39" t="s">
        <v>279</v>
      </c>
      <c r="B78" s="13">
        <v>300</v>
      </c>
      <c r="C78" s="13">
        <v>0</v>
      </c>
      <c r="D78" s="13">
        <v>0</v>
      </c>
      <c r="E78" s="13">
        <v>32</v>
      </c>
      <c r="G78" t="s">
        <v>279</v>
      </c>
      <c r="H78">
        <v>300</v>
      </c>
      <c r="I78">
        <v>0</v>
      </c>
      <c r="J78">
        <v>0</v>
      </c>
      <c r="K78">
        <v>32</v>
      </c>
      <c r="L78" t="str">
        <f>VLOOKUP(G78,consolodiado!A:C,3,0)</f>
        <v>04</v>
      </c>
      <c r="M78" t="str">
        <f>VLOOKUP(G78,consolodiado!A:D,4,0)</f>
        <v>03</v>
      </c>
    </row>
    <row r="79" spans="1:13" x14ac:dyDescent="0.25">
      <c r="A79" s="39" t="s">
        <v>126</v>
      </c>
      <c r="B79" s="13">
        <v>0</v>
      </c>
      <c r="C79" s="13">
        <v>979841</v>
      </c>
      <c r="D79" s="13">
        <v>0</v>
      </c>
      <c r="E79" s="13">
        <v>0</v>
      </c>
      <c r="G79" t="s">
        <v>126</v>
      </c>
      <c r="H79">
        <v>0</v>
      </c>
      <c r="I79">
        <v>979841</v>
      </c>
      <c r="J79">
        <v>0</v>
      </c>
      <c r="K79">
        <v>0</v>
      </c>
      <c r="L79" t="str">
        <f>VLOOKUP(G79,consolodiado!A:C,3,0)</f>
        <v>04</v>
      </c>
      <c r="M79" t="str">
        <f>VLOOKUP(G79,consolodiado!A:D,4,0)</f>
        <v>85</v>
      </c>
    </row>
    <row r="80" spans="1:13" x14ac:dyDescent="0.25">
      <c r="A80" s="39" t="s">
        <v>285</v>
      </c>
      <c r="B80" s="13">
        <v>349</v>
      </c>
      <c r="C80" s="13">
        <v>0</v>
      </c>
      <c r="D80" s="13">
        <v>0</v>
      </c>
      <c r="E80" s="13">
        <v>0</v>
      </c>
      <c r="G80" t="s">
        <v>285</v>
      </c>
      <c r="H80">
        <v>349</v>
      </c>
      <c r="I80">
        <v>0</v>
      </c>
      <c r="J80">
        <v>0</v>
      </c>
      <c r="K80">
        <v>0</v>
      </c>
      <c r="L80" t="str">
        <f>VLOOKUP(G80,consolodiado!A:C,3,0)</f>
        <v>04</v>
      </c>
      <c r="M80" t="str">
        <f>VLOOKUP(G80,consolodiado!A:D,4,0)</f>
        <v>85</v>
      </c>
    </row>
    <row r="81" spans="1:13" x14ac:dyDescent="0.25">
      <c r="A81" s="39" t="s">
        <v>127</v>
      </c>
      <c r="B81" s="13">
        <v>0</v>
      </c>
      <c r="C81" s="13">
        <v>0</v>
      </c>
      <c r="D81" s="13">
        <v>5020</v>
      </c>
      <c r="E81" s="13">
        <v>0</v>
      </c>
      <c r="G81" t="s">
        <v>127</v>
      </c>
      <c r="H81">
        <v>0</v>
      </c>
      <c r="I81">
        <v>0</v>
      </c>
      <c r="J81">
        <v>5020</v>
      </c>
      <c r="K81">
        <v>0</v>
      </c>
      <c r="L81" t="str">
        <f>VLOOKUP(G81,consolodiado!A:C,3,0)</f>
        <v>04</v>
      </c>
      <c r="M81" t="str">
        <f>VLOOKUP(G81,consolodiado!A:D,4,0)</f>
        <v>85</v>
      </c>
    </row>
    <row r="82" spans="1:13" x14ac:dyDescent="0.25">
      <c r="A82" s="39" t="s">
        <v>370</v>
      </c>
      <c r="B82" s="13">
        <v>3364</v>
      </c>
      <c r="C82" s="13">
        <v>0</v>
      </c>
      <c r="D82" s="13">
        <v>0</v>
      </c>
      <c r="E82" s="13">
        <v>0</v>
      </c>
      <c r="G82" t="s">
        <v>370</v>
      </c>
      <c r="H82">
        <v>3364</v>
      </c>
      <c r="I82">
        <v>0</v>
      </c>
      <c r="J82">
        <v>0</v>
      </c>
      <c r="K82">
        <v>0</v>
      </c>
      <c r="L82" t="str">
        <f>VLOOKUP(G82,consolodiado!A:C,3,0)</f>
        <v>04</v>
      </c>
      <c r="M82" t="str">
        <f>VLOOKUP(G82,consolodiado!A:D,4,0)</f>
        <v>85</v>
      </c>
    </row>
    <row r="83" spans="1:13" x14ac:dyDescent="0.25">
      <c r="A83" s="39" t="s">
        <v>130</v>
      </c>
      <c r="B83" s="13">
        <v>0</v>
      </c>
      <c r="C83" s="13">
        <v>0</v>
      </c>
      <c r="D83" s="13">
        <v>91240</v>
      </c>
      <c r="E83" s="13">
        <v>0</v>
      </c>
      <c r="G83" t="s">
        <v>130</v>
      </c>
      <c r="H83">
        <v>0</v>
      </c>
      <c r="I83">
        <v>0</v>
      </c>
      <c r="J83">
        <v>91240</v>
      </c>
      <c r="K83">
        <v>0</v>
      </c>
      <c r="L83" t="str">
        <f>VLOOKUP(G83,consolodiado!A:C,3,0)</f>
        <v>04</v>
      </c>
      <c r="M83" t="str">
        <f>VLOOKUP(G83,consolodiado!A:D,4,0)</f>
        <v>03</v>
      </c>
    </row>
    <row r="84" spans="1:13" x14ac:dyDescent="0.25">
      <c r="A84" s="39" t="s">
        <v>354</v>
      </c>
      <c r="B84" s="13">
        <v>60000</v>
      </c>
      <c r="C84" s="13">
        <v>0</v>
      </c>
      <c r="D84" s="13">
        <v>0</v>
      </c>
      <c r="E84" s="13">
        <v>0</v>
      </c>
      <c r="G84" t="s">
        <v>354</v>
      </c>
      <c r="H84">
        <v>60000</v>
      </c>
      <c r="I84">
        <v>0</v>
      </c>
      <c r="J84">
        <v>0</v>
      </c>
      <c r="K84">
        <v>0</v>
      </c>
      <c r="L84" t="str">
        <f>VLOOKUP(G84,consolodiado!A:C,3,0)</f>
        <v>04</v>
      </c>
      <c r="M84" t="str">
        <f>VLOOKUP(G84,consolodiado!A:D,4,0)</f>
        <v>85</v>
      </c>
    </row>
    <row r="85" spans="1:13" x14ac:dyDescent="0.25">
      <c r="A85" s="39" t="s">
        <v>374</v>
      </c>
      <c r="B85" s="13">
        <v>0</v>
      </c>
      <c r="C85" s="13">
        <v>0</v>
      </c>
      <c r="D85" s="13">
        <v>4072</v>
      </c>
      <c r="E85" s="13">
        <v>0</v>
      </c>
      <c r="G85" t="s">
        <v>374</v>
      </c>
      <c r="H85">
        <v>0</v>
      </c>
      <c r="I85">
        <v>0</v>
      </c>
      <c r="J85">
        <v>4072</v>
      </c>
      <c r="K85">
        <v>0</v>
      </c>
      <c r="L85" t="str">
        <f>VLOOKUP(G85,consolodiado!A:C,3,0)</f>
        <v>04</v>
      </c>
      <c r="M85" t="str">
        <f>VLOOKUP(G85,consolodiado!A:D,4,0)</f>
        <v>03</v>
      </c>
    </row>
    <row r="86" spans="1:13" x14ac:dyDescent="0.25">
      <c r="A86" s="39" t="s">
        <v>136</v>
      </c>
      <c r="B86" s="13">
        <v>20000</v>
      </c>
      <c r="C86" s="13">
        <v>0</v>
      </c>
      <c r="D86" s="13">
        <v>0</v>
      </c>
      <c r="E86" s="13">
        <v>2133</v>
      </c>
      <c r="G86" t="s">
        <v>136</v>
      </c>
      <c r="H86">
        <v>20000</v>
      </c>
      <c r="I86">
        <v>0</v>
      </c>
      <c r="J86">
        <v>0</v>
      </c>
      <c r="K86">
        <v>2133</v>
      </c>
      <c r="L86" t="str">
        <f>VLOOKUP(G86,consolodiado!A:C,3,0)</f>
        <v>04</v>
      </c>
      <c r="M86" t="str">
        <f>VLOOKUP(G86,consolodiado!A:D,4,0)</f>
        <v>03</v>
      </c>
    </row>
    <row r="87" spans="1:13" x14ac:dyDescent="0.25">
      <c r="A87" s="39" t="s">
        <v>163</v>
      </c>
      <c r="B87" s="13">
        <v>8620</v>
      </c>
      <c r="C87" s="13">
        <v>0</v>
      </c>
      <c r="D87" s="13">
        <v>0</v>
      </c>
      <c r="E87" s="13">
        <v>0</v>
      </c>
      <c r="G87" t="s">
        <v>163</v>
      </c>
      <c r="H87">
        <v>8620</v>
      </c>
      <c r="I87">
        <v>0</v>
      </c>
      <c r="J87">
        <v>0</v>
      </c>
      <c r="K87">
        <v>0</v>
      </c>
      <c r="L87" t="str">
        <f>VLOOKUP(G87,consolodiado!A:C,3,0)</f>
        <v>04</v>
      </c>
      <c r="M87" t="str">
        <f>VLOOKUP(G87,consolodiado!A:D,4,0)</f>
        <v>85</v>
      </c>
    </row>
    <row r="88" spans="1:13" x14ac:dyDescent="0.25">
      <c r="A88" s="39" t="s">
        <v>180</v>
      </c>
      <c r="B88" s="13">
        <v>0</v>
      </c>
      <c r="C88" s="13">
        <v>0</v>
      </c>
      <c r="D88" s="13">
        <v>1432</v>
      </c>
      <c r="E88" s="13">
        <v>0</v>
      </c>
      <c r="G88" t="s">
        <v>180</v>
      </c>
      <c r="H88">
        <v>0</v>
      </c>
      <c r="I88">
        <v>0</v>
      </c>
      <c r="J88">
        <v>1432</v>
      </c>
      <c r="K88">
        <v>0</v>
      </c>
      <c r="L88" t="str">
        <f>VLOOKUP(G88,consolodiado!A:C,3,0)</f>
        <v>04</v>
      </c>
      <c r="M88" t="str">
        <f>VLOOKUP(G88,consolodiado!A:D,4,0)</f>
        <v>03</v>
      </c>
    </row>
    <row r="89" spans="1:13" x14ac:dyDescent="0.25">
      <c r="A89" s="39" t="s">
        <v>182</v>
      </c>
      <c r="B89" s="13">
        <v>1012</v>
      </c>
      <c r="C89" s="13">
        <v>0</v>
      </c>
      <c r="D89" s="13">
        <v>0</v>
      </c>
      <c r="E89" s="13">
        <v>0</v>
      </c>
      <c r="G89" t="s">
        <v>182</v>
      </c>
      <c r="H89">
        <v>1012</v>
      </c>
      <c r="I89">
        <v>0</v>
      </c>
      <c r="J89">
        <v>0</v>
      </c>
      <c r="K89">
        <v>0</v>
      </c>
      <c r="L89" t="str">
        <f>VLOOKUP(G89,consolodiado!A:C,3,0)</f>
        <v>04</v>
      </c>
      <c r="M89" t="str">
        <f>VLOOKUP(G89,consolodiado!A:D,4,0)</f>
        <v>85</v>
      </c>
    </row>
    <row r="90" spans="1:13" x14ac:dyDescent="0.25">
      <c r="A90" s="39" t="s">
        <v>142</v>
      </c>
      <c r="B90" s="13">
        <v>50513</v>
      </c>
      <c r="C90" s="13">
        <v>0</v>
      </c>
      <c r="D90" s="13">
        <v>0</v>
      </c>
      <c r="E90" s="13">
        <v>0</v>
      </c>
      <c r="G90" t="s">
        <v>142</v>
      </c>
      <c r="H90">
        <v>50513</v>
      </c>
      <c r="I90">
        <v>0</v>
      </c>
      <c r="J90">
        <v>0</v>
      </c>
      <c r="K90">
        <v>0</v>
      </c>
      <c r="L90" t="str">
        <f>VLOOKUP(G90,consolodiado!A:C,3,0)</f>
        <v>04</v>
      </c>
      <c r="M90" t="str">
        <f>VLOOKUP(G90,consolodiado!A:D,4,0)</f>
        <v>85</v>
      </c>
    </row>
    <row r="91" spans="1:13" x14ac:dyDescent="0.25">
      <c r="A91" s="39" t="s">
        <v>164</v>
      </c>
      <c r="B91" s="13">
        <v>21434</v>
      </c>
      <c r="C91" s="13">
        <v>0</v>
      </c>
      <c r="D91" s="13">
        <v>0</v>
      </c>
      <c r="E91" s="13">
        <v>0</v>
      </c>
      <c r="G91" t="s">
        <v>164</v>
      </c>
      <c r="H91">
        <v>21434</v>
      </c>
      <c r="I91">
        <v>0</v>
      </c>
      <c r="J91">
        <v>0</v>
      </c>
      <c r="K91">
        <v>0</v>
      </c>
      <c r="L91" t="str">
        <f>VLOOKUP(G91,consolodiado!A:C,3,0)</f>
        <v>04</v>
      </c>
      <c r="M91" t="str">
        <f>VLOOKUP(G91,consolodiado!A:D,4,0)</f>
        <v>85</v>
      </c>
    </row>
    <row r="92" spans="1:13" x14ac:dyDescent="0.25">
      <c r="A92" s="39" t="s">
        <v>331</v>
      </c>
      <c r="B92" s="13">
        <v>2504</v>
      </c>
      <c r="C92" s="13">
        <v>0</v>
      </c>
      <c r="D92" s="13">
        <v>0</v>
      </c>
      <c r="E92" s="13">
        <v>0</v>
      </c>
      <c r="G92" t="s">
        <v>331</v>
      </c>
      <c r="H92">
        <v>2504</v>
      </c>
      <c r="I92">
        <v>0</v>
      </c>
      <c r="J92">
        <v>0</v>
      </c>
      <c r="K92">
        <v>0</v>
      </c>
      <c r="L92" t="str">
        <f>VLOOKUP(G92,consolodiado!A:C,3,0)</f>
        <v>04</v>
      </c>
      <c r="M92" t="str">
        <f>VLOOKUP(G92,consolodiado!A:D,4,0)</f>
        <v>85</v>
      </c>
    </row>
    <row r="93" spans="1:13" x14ac:dyDescent="0.25">
      <c r="A93" s="39" t="s">
        <v>74</v>
      </c>
      <c r="B93" s="13">
        <v>0</v>
      </c>
      <c r="C93" s="13">
        <v>4091811</v>
      </c>
      <c r="D93" s="13">
        <v>0</v>
      </c>
      <c r="E93" s="13">
        <v>0</v>
      </c>
      <c r="G93" t="s">
        <v>74</v>
      </c>
      <c r="H93">
        <v>0</v>
      </c>
      <c r="I93">
        <v>4091811</v>
      </c>
      <c r="J93">
        <v>0</v>
      </c>
      <c r="K93">
        <v>0</v>
      </c>
      <c r="L93" t="str">
        <f>VLOOKUP(G93,consolodiado!A:C,3,0)</f>
        <v>04</v>
      </c>
      <c r="M93" t="str">
        <f>VLOOKUP(G93,consolodiado!A:D,4,0)</f>
        <v>85</v>
      </c>
    </row>
    <row r="94" spans="1:13" x14ac:dyDescent="0.25">
      <c r="A94" s="39" t="s">
        <v>138</v>
      </c>
      <c r="B94" s="13">
        <v>3032</v>
      </c>
      <c r="C94" s="13">
        <v>0</v>
      </c>
      <c r="D94" s="13">
        <v>0</v>
      </c>
      <c r="E94" s="13">
        <v>0</v>
      </c>
      <c r="G94" t="s">
        <v>138</v>
      </c>
      <c r="H94">
        <v>3032</v>
      </c>
      <c r="I94">
        <v>0</v>
      </c>
      <c r="J94">
        <v>0</v>
      </c>
      <c r="K94">
        <v>0</v>
      </c>
      <c r="L94" t="str">
        <f>VLOOKUP(G94,consolodiado!A:C,3,0)</f>
        <v>04</v>
      </c>
      <c r="M94" t="str">
        <f>VLOOKUP(G94,consolodiado!A:D,4,0)</f>
        <v>06</v>
      </c>
    </row>
    <row r="95" spans="1:13" x14ac:dyDescent="0.25">
      <c r="A95" s="39" t="s">
        <v>271</v>
      </c>
      <c r="B95" s="13">
        <v>397</v>
      </c>
      <c r="C95" s="13">
        <v>0</v>
      </c>
      <c r="D95" s="13">
        <v>0</v>
      </c>
      <c r="E95" s="13">
        <v>0</v>
      </c>
      <c r="G95" t="s">
        <v>271</v>
      </c>
      <c r="H95">
        <v>397</v>
      </c>
      <c r="I95">
        <v>0</v>
      </c>
      <c r="J95">
        <v>0</v>
      </c>
      <c r="K95">
        <v>0</v>
      </c>
      <c r="L95" t="str">
        <f>VLOOKUP(G95,consolodiado!A:C,3,0)</f>
        <v>04</v>
      </c>
      <c r="M95" t="str">
        <f>VLOOKUP(G95,consolodiado!A:D,4,0)</f>
        <v>85</v>
      </c>
    </row>
    <row r="96" spans="1:13" x14ac:dyDescent="0.25">
      <c r="A96" s="39" t="s">
        <v>366</v>
      </c>
      <c r="B96" s="13">
        <v>0</v>
      </c>
      <c r="C96" s="13">
        <v>35600</v>
      </c>
      <c r="D96" s="13">
        <v>0</v>
      </c>
      <c r="E96" s="13">
        <v>0</v>
      </c>
      <c r="G96" t="s">
        <v>366</v>
      </c>
      <c r="H96">
        <v>0</v>
      </c>
      <c r="I96">
        <v>35600</v>
      </c>
      <c r="J96">
        <v>0</v>
      </c>
      <c r="K96">
        <v>0</v>
      </c>
      <c r="L96" t="str">
        <f>VLOOKUP(G96,consolodiado!A:C,3,0)</f>
        <v>04</v>
      </c>
      <c r="M96" t="str">
        <f>VLOOKUP(G96,consolodiado!A:D,4,0)</f>
        <v>85</v>
      </c>
    </row>
    <row r="97" spans="1:13" x14ac:dyDescent="0.25">
      <c r="A97" s="39" t="s">
        <v>141</v>
      </c>
      <c r="B97" s="13">
        <v>56000</v>
      </c>
      <c r="C97" s="13">
        <v>0</v>
      </c>
      <c r="D97" s="13">
        <v>0</v>
      </c>
      <c r="E97" s="13">
        <v>0</v>
      </c>
      <c r="G97" t="s">
        <v>141</v>
      </c>
      <c r="H97">
        <v>56000</v>
      </c>
      <c r="I97">
        <v>0</v>
      </c>
      <c r="J97">
        <v>0</v>
      </c>
      <c r="K97">
        <v>0</v>
      </c>
      <c r="L97" t="str">
        <f>VLOOKUP(G97,consolodiado!A:C,3,0)</f>
        <v>04</v>
      </c>
      <c r="M97" t="str">
        <f>VLOOKUP(G97,consolodiado!A:D,4,0)</f>
        <v>85</v>
      </c>
    </row>
    <row r="98" spans="1:13" x14ac:dyDescent="0.25">
      <c r="A98" s="39" t="s">
        <v>269</v>
      </c>
      <c r="B98" s="13">
        <v>1200</v>
      </c>
      <c r="C98" s="13">
        <v>0</v>
      </c>
      <c r="D98" s="13">
        <v>0</v>
      </c>
      <c r="E98" s="13">
        <v>0</v>
      </c>
      <c r="G98" t="s">
        <v>269</v>
      </c>
      <c r="H98">
        <v>1200</v>
      </c>
      <c r="I98">
        <v>0</v>
      </c>
      <c r="J98">
        <v>0</v>
      </c>
      <c r="K98">
        <v>0</v>
      </c>
      <c r="L98" t="str">
        <f>VLOOKUP(G98,consolodiado!A:C,3,0)</f>
        <v>04</v>
      </c>
      <c r="M98" t="str">
        <f>VLOOKUP(G98,consolodiado!A:D,4,0)</f>
        <v>85</v>
      </c>
    </row>
    <row r="99" spans="1:13" x14ac:dyDescent="0.25">
      <c r="A99" s="39" t="s">
        <v>143</v>
      </c>
      <c r="B99" s="13">
        <v>0</v>
      </c>
      <c r="C99" s="13">
        <v>71384</v>
      </c>
      <c r="D99" s="13">
        <v>0</v>
      </c>
      <c r="E99" s="13">
        <v>0</v>
      </c>
      <c r="G99" t="s">
        <v>143</v>
      </c>
      <c r="H99">
        <v>0</v>
      </c>
      <c r="I99">
        <v>71384</v>
      </c>
      <c r="J99">
        <v>0</v>
      </c>
      <c r="K99">
        <v>0</v>
      </c>
      <c r="L99" t="str">
        <f>VLOOKUP(G99,consolodiado!A:C,3,0)</f>
        <v>04</v>
      </c>
      <c r="M99" t="str">
        <f>VLOOKUP(G99,consolodiado!A:D,4,0)</f>
        <v>85</v>
      </c>
    </row>
    <row r="100" spans="1:13" x14ac:dyDescent="0.25">
      <c r="A100" s="39" t="s">
        <v>273</v>
      </c>
      <c r="B100" s="13">
        <v>970</v>
      </c>
      <c r="C100" s="13">
        <v>0</v>
      </c>
      <c r="D100" s="13">
        <v>0</v>
      </c>
      <c r="E100" s="13">
        <v>0</v>
      </c>
      <c r="G100" t="s">
        <v>273</v>
      </c>
      <c r="H100">
        <v>970</v>
      </c>
      <c r="I100">
        <v>0</v>
      </c>
      <c r="J100">
        <v>0</v>
      </c>
      <c r="K100">
        <v>0</v>
      </c>
      <c r="L100" t="str">
        <f>VLOOKUP(G100,consolodiado!A:C,3,0)</f>
        <v>04</v>
      </c>
      <c r="M100" t="str">
        <f>VLOOKUP(G100,consolodiado!A:D,4,0)</f>
        <v>85</v>
      </c>
    </row>
    <row r="101" spans="1:13" x14ac:dyDescent="0.25">
      <c r="A101" s="39" t="s">
        <v>144</v>
      </c>
      <c r="B101" s="13">
        <v>6847</v>
      </c>
      <c r="C101" s="13">
        <v>0</v>
      </c>
      <c r="D101" s="13">
        <v>0</v>
      </c>
      <c r="E101" s="13">
        <v>0</v>
      </c>
      <c r="G101" t="s">
        <v>144</v>
      </c>
      <c r="H101">
        <v>6847</v>
      </c>
      <c r="I101">
        <v>0</v>
      </c>
      <c r="J101">
        <v>0</v>
      </c>
      <c r="K101">
        <v>0</v>
      </c>
      <c r="L101" t="str">
        <f>VLOOKUP(G101,consolodiado!A:C,3,0)</f>
        <v>04</v>
      </c>
      <c r="M101" t="str">
        <f>VLOOKUP(G101,consolodiado!A:D,4,0)</f>
        <v>85</v>
      </c>
    </row>
    <row r="102" spans="1:13" x14ac:dyDescent="0.25">
      <c r="A102" s="39" t="s">
        <v>221</v>
      </c>
      <c r="B102" s="13">
        <v>0</v>
      </c>
      <c r="C102" s="13">
        <v>0</v>
      </c>
      <c r="D102" s="13">
        <v>10622</v>
      </c>
      <c r="E102" s="13">
        <v>0</v>
      </c>
      <c r="G102" t="s">
        <v>221</v>
      </c>
      <c r="H102">
        <v>0</v>
      </c>
      <c r="I102">
        <v>0</v>
      </c>
      <c r="J102">
        <v>10622</v>
      </c>
      <c r="K102">
        <v>0</v>
      </c>
      <c r="L102" t="str">
        <f>VLOOKUP(G102,consolodiado!A:C,3,0)</f>
        <v>04</v>
      </c>
      <c r="M102" t="str">
        <f>VLOOKUP(G102,consolodiado!A:D,4,0)</f>
        <v>03</v>
      </c>
    </row>
    <row r="103" spans="1:13" x14ac:dyDescent="0.25">
      <c r="A103" s="39" t="s">
        <v>76</v>
      </c>
      <c r="B103" s="13">
        <v>11290</v>
      </c>
      <c r="C103" s="13">
        <v>7272</v>
      </c>
      <c r="D103" s="13">
        <v>0</v>
      </c>
      <c r="E103" s="13">
        <v>0</v>
      </c>
      <c r="G103" t="s">
        <v>76</v>
      </c>
      <c r="H103">
        <v>11290</v>
      </c>
      <c r="I103">
        <v>7272</v>
      </c>
      <c r="J103">
        <v>0</v>
      </c>
      <c r="K103">
        <v>0</v>
      </c>
      <c r="L103" t="str">
        <f>VLOOKUP(G103,consolodiado!A:C,3,0)</f>
        <v>04</v>
      </c>
      <c r="M103" t="str">
        <f>VLOOKUP(G103,consolodiado!A:D,4,0)</f>
        <v>85</v>
      </c>
    </row>
    <row r="104" spans="1:13" x14ac:dyDescent="0.25">
      <c r="A104" s="39" t="s">
        <v>77</v>
      </c>
      <c r="B104" s="13">
        <v>3053</v>
      </c>
      <c r="C104" s="13">
        <v>0</v>
      </c>
      <c r="D104" s="13">
        <v>0</v>
      </c>
      <c r="E104" s="13">
        <v>0</v>
      </c>
      <c r="G104" t="s">
        <v>77</v>
      </c>
      <c r="H104">
        <v>3053</v>
      </c>
      <c r="I104">
        <v>0</v>
      </c>
      <c r="J104">
        <v>0</v>
      </c>
      <c r="K104">
        <v>0</v>
      </c>
      <c r="L104" t="str">
        <f>VLOOKUP(G104,consolodiado!A:C,3,0)</f>
        <v>04</v>
      </c>
      <c r="M104" t="str">
        <f>VLOOKUP(G104,consolodiado!A:D,4,0)</f>
        <v>85</v>
      </c>
    </row>
    <row r="105" spans="1:13" x14ac:dyDescent="0.25">
      <c r="A105" s="39" t="s">
        <v>347</v>
      </c>
      <c r="B105" s="13">
        <v>28736</v>
      </c>
      <c r="C105" s="13">
        <v>0</v>
      </c>
      <c r="D105" s="13">
        <v>0</v>
      </c>
      <c r="E105" s="13">
        <v>0</v>
      </c>
      <c r="G105" t="s">
        <v>347</v>
      </c>
      <c r="H105">
        <v>28736</v>
      </c>
      <c r="I105">
        <v>0</v>
      </c>
      <c r="J105">
        <v>0</v>
      </c>
      <c r="K105">
        <v>0</v>
      </c>
      <c r="L105" t="str">
        <f>VLOOKUP(G105,consolodiado!A:C,3,0)</f>
        <v>04</v>
      </c>
      <c r="M105" t="str">
        <f>VLOOKUP(G105,consolodiado!A:D,4,0)</f>
        <v>85</v>
      </c>
    </row>
    <row r="106" spans="1:13" x14ac:dyDescent="0.25">
      <c r="A106" s="39" t="s">
        <v>165</v>
      </c>
      <c r="B106" s="13">
        <v>0</v>
      </c>
      <c r="C106" s="13">
        <v>327260</v>
      </c>
      <c r="D106" s="13">
        <v>0</v>
      </c>
      <c r="E106" s="13">
        <v>0</v>
      </c>
      <c r="G106" t="s">
        <v>165</v>
      </c>
      <c r="H106">
        <v>0</v>
      </c>
      <c r="I106">
        <v>327260</v>
      </c>
      <c r="J106">
        <v>0</v>
      </c>
      <c r="K106">
        <v>0</v>
      </c>
      <c r="L106" t="str">
        <f>VLOOKUP(G106,consolodiado!A:C,3,0)</f>
        <v>04</v>
      </c>
      <c r="M106" t="str">
        <f>VLOOKUP(G106,consolodiado!A:D,4,0)</f>
        <v>85</v>
      </c>
    </row>
    <row r="107" spans="1:13" x14ac:dyDescent="0.25">
      <c r="A107" s="39" t="s">
        <v>129</v>
      </c>
      <c r="B107" s="13">
        <v>0</v>
      </c>
      <c r="C107" s="13">
        <v>0</v>
      </c>
      <c r="D107" s="13">
        <v>113252</v>
      </c>
      <c r="E107" s="13">
        <v>0</v>
      </c>
      <c r="G107" t="s">
        <v>129</v>
      </c>
      <c r="H107">
        <v>0</v>
      </c>
      <c r="I107">
        <v>0</v>
      </c>
      <c r="J107">
        <v>113252</v>
      </c>
      <c r="K107">
        <v>0</v>
      </c>
      <c r="L107" t="str">
        <f>VLOOKUP(G107,consolodiado!A:C,3,0)</f>
        <v>04</v>
      </c>
      <c r="M107" t="str">
        <f>VLOOKUP(G107,consolodiado!A:D,4,0)</f>
        <v>85</v>
      </c>
    </row>
    <row r="108" spans="1:13" x14ac:dyDescent="0.25">
      <c r="A108" s="39" t="s">
        <v>173</v>
      </c>
      <c r="B108" s="13">
        <v>472</v>
      </c>
      <c r="C108" s="13">
        <v>0</v>
      </c>
      <c r="D108" s="13">
        <v>0</v>
      </c>
      <c r="E108" s="13">
        <v>0</v>
      </c>
      <c r="G108" t="s">
        <v>173</v>
      </c>
      <c r="H108">
        <v>472</v>
      </c>
      <c r="I108">
        <v>0</v>
      </c>
      <c r="J108">
        <v>0</v>
      </c>
      <c r="K108">
        <v>0</v>
      </c>
      <c r="L108" t="str">
        <f>VLOOKUP(G108,consolodiado!A:C,3,0)</f>
        <v>04</v>
      </c>
      <c r="M108" t="str">
        <f>VLOOKUP(G108,consolodiado!A:D,4,0)</f>
        <v>85</v>
      </c>
    </row>
    <row r="109" spans="1:13" x14ac:dyDescent="0.25">
      <c r="A109" s="39" t="s">
        <v>147</v>
      </c>
      <c r="B109" s="13">
        <v>10748</v>
      </c>
      <c r="C109" s="13">
        <v>0</v>
      </c>
      <c r="D109" s="13">
        <v>0</v>
      </c>
      <c r="E109" s="13">
        <v>0</v>
      </c>
      <c r="G109" t="s">
        <v>147</v>
      </c>
      <c r="H109">
        <v>10748</v>
      </c>
      <c r="I109">
        <v>0</v>
      </c>
      <c r="J109">
        <v>0</v>
      </c>
      <c r="K109">
        <v>0</v>
      </c>
      <c r="L109" t="str">
        <f>VLOOKUP(G109,consolodiado!A:C,3,0)</f>
        <v>04</v>
      </c>
      <c r="M109" t="str">
        <f>VLOOKUP(G109,consolodiado!A:D,4,0)</f>
        <v>85</v>
      </c>
    </row>
    <row r="110" spans="1:13" x14ac:dyDescent="0.25">
      <c r="A110" s="39" t="s">
        <v>176</v>
      </c>
      <c r="B110" s="13">
        <v>0</v>
      </c>
      <c r="C110" s="13">
        <v>0</v>
      </c>
      <c r="D110" s="13">
        <v>10637</v>
      </c>
      <c r="E110" s="13">
        <v>0</v>
      </c>
      <c r="G110" t="s">
        <v>176</v>
      </c>
      <c r="H110">
        <v>0</v>
      </c>
      <c r="I110">
        <v>0</v>
      </c>
      <c r="J110">
        <v>10637</v>
      </c>
      <c r="K110">
        <v>0</v>
      </c>
      <c r="L110" t="str">
        <f>VLOOKUP(G110,consolodiado!A:C,3,0)</f>
        <v>04</v>
      </c>
      <c r="M110" t="str">
        <f>VLOOKUP(G110,consolodiado!A:D,4,0)</f>
        <v>03</v>
      </c>
    </row>
    <row r="111" spans="1:13" x14ac:dyDescent="0.25">
      <c r="A111" s="39" t="s">
        <v>378</v>
      </c>
      <c r="B111" s="13">
        <v>1579</v>
      </c>
      <c r="C111" s="13">
        <v>0</v>
      </c>
      <c r="D111" s="13">
        <v>0</v>
      </c>
      <c r="E111" s="13">
        <v>0</v>
      </c>
      <c r="G111" t="s">
        <v>378</v>
      </c>
      <c r="H111">
        <v>1579</v>
      </c>
      <c r="I111">
        <v>0</v>
      </c>
      <c r="J111">
        <v>0</v>
      </c>
      <c r="K111">
        <v>0</v>
      </c>
      <c r="L111" t="str">
        <f>VLOOKUP(G111,consolodiado!A:C,3,0)</f>
        <v>04</v>
      </c>
      <c r="M111" t="str">
        <f>VLOOKUP(G111,consolodiado!A:D,4,0)</f>
        <v>85</v>
      </c>
    </row>
    <row r="112" spans="1:13" x14ac:dyDescent="0.25">
      <c r="A112" s="39" t="s">
        <v>177</v>
      </c>
      <c r="B112" s="13">
        <v>0</v>
      </c>
      <c r="C112" s="13">
        <v>22050</v>
      </c>
      <c r="D112" s="13">
        <v>0</v>
      </c>
      <c r="E112" s="13">
        <v>0</v>
      </c>
      <c r="G112" t="s">
        <v>177</v>
      </c>
      <c r="H112">
        <v>0</v>
      </c>
      <c r="I112">
        <v>22050</v>
      </c>
      <c r="J112">
        <v>0</v>
      </c>
      <c r="K112">
        <v>0</v>
      </c>
      <c r="L112" t="str">
        <f>VLOOKUP(G112,consolodiado!A:C,3,0)</f>
        <v>04</v>
      </c>
      <c r="M112" t="str">
        <f>VLOOKUP(G112,consolodiado!A:D,4,0)</f>
        <v>85</v>
      </c>
    </row>
    <row r="113" spans="1:13" x14ac:dyDescent="0.25">
      <c r="A113" s="39" t="s">
        <v>297</v>
      </c>
      <c r="B113" s="13">
        <v>0</v>
      </c>
      <c r="C113" s="13">
        <v>0</v>
      </c>
      <c r="D113" s="13">
        <v>762</v>
      </c>
      <c r="E113" s="13">
        <v>0</v>
      </c>
      <c r="G113" t="s">
        <v>297</v>
      </c>
      <c r="H113">
        <v>0</v>
      </c>
      <c r="I113">
        <v>0</v>
      </c>
      <c r="J113">
        <v>762</v>
      </c>
      <c r="K113">
        <v>0</v>
      </c>
      <c r="L113" t="str">
        <f>VLOOKUP(G113,consolodiado!A:C,3,0)</f>
        <v>04</v>
      </c>
      <c r="M113" t="str">
        <f>VLOOKUP(G113,consolodiado!A:D,4,0)</f>
        <v>03</v>
      </c>
    </row>
    <row r="114" spans="1:13" x14ac:dyDescent="0.25">
      <c r="A114" s="39" t="s">
        <v>146</v>
      </c>
      <c r="B114" s="13">
        <v>0</v>
      </c>
      <c r="C114" s="13">
        <v>6272</v>
      </c>
      <c r="D114" s="13">
        <v>0</v>
      </c>
      <c r="E114" s="13">
        <v>0</v>
      </c>
      <c r="G114" t="s">
        <v>146</v>
      </c>
      <c r="H114">
        <v>0</v>
      </c>
      <c r="I114">
        <v>6272</v>
      </c>
      <c r="J114">
        <v>0</v>
      </c>
      <c r="K114">
        <v>0</v>
      </c>
      <c r="L114" t="str">
        <f>VLOOKUP(G114,consolodiado!A:C,3,0)</f>
        <v>04</v>
      </c>
      <c r="M114" t="str">
        <f>VLOOKUP(G114,consolodiado!A:D,4,0)</f>
        <v>85</v>
      </c>
    </row>
    <row r="115" spans="1:13" x14ac:dyDescent="0.25">
      <c r="A115" s="39" t="s">
        <v>145</v>
      </c>
      <c r="B115" s="13">
        <v>9747</v>
      </c>
      <c r="C115" s="13">
        <v>0</v>
      </c>
      <c r="D115" s="13">
        <v>0</v>
      </c>
      <c r="E115" s="13">
        <v>0</v>
      </c>
      <c r="G115" t="s">
        <v>145</v>
      </c>
      <c r="H115">
        <v>9747</v>
      </c>
      <c r="I115">
        <v>0</v>
      </c>
      <c r="J115">
        <v>0</v>
      </c>
      <c r="K115">
        <v>0</v>
      </c>
      <c r="L115" t="str">
        <f>VLOOKUP(G115,consolodiado!A:C,3,0)</f>
        <v>04</v>
      </c>
      <c r="M115" t="str">
        <f>VLOOKUP(G115,consolodiado!A:D,4,0)</f>
        <v>85</v>
      </c>
    </row>
    <row r="116" spans="1:13" x14ac:dyDescent="0.25">
      <c r="A116" s="39" t="s">
        <v>386</v>
      </c>
      <c r="B116" s="13">
        <v>0</v>
      </c>
      <c r="C116" s="13">
        <v>0</v>
      </c>
      <c r="D116" s="13">
        <v>1351</v>
      </c>
      <c r="E116" s="13">
        <v>0</v>
      </c>
      <c r="G116" t="s">
        <v>386</v>
      </c>
      <c r="H116">
        <v>0</v>
      </c>
      <c r="I116">
        <v>0</v>
      </c>
      <c r="J116">
        <v>1351</v>
      </c>
      <c r="K116">
        <v>0</v>
      </c>
      <c r="L116" t="str">
        <f>VLOOKUP(G116,consolodiado!A:C,3,0)</f>
        <v>04</v>
      </c>
      <c r="M116" t="str">
        <f>VLOOKUP(G116,consolodiado!A:D,4,0)</f>
        <v>03</v>
      </c>
    </row>
    <row r="117" spans="1:13" x14ac:dyDescent="0.25">
      <c r="A117" s="39" t="s">
        <v>148</v>
      </c>
      <c r="B117" s="13">
        <v>402457</v>
      </c>
      <c r="C117" s="13">
        <v>0</v>
      </c>
      <c r="D117" s="13">
        <v>0</v>
      </c>
      <c r="E117" s="13">
        <v>0</v>
      </c>
      <c r="G117" t="s">
        <v>148</v>
      </c>
      <c r="H117">
        <v>402457</v>
      </c>
      <c r="I117">
        <v>0</v>
      </c>
      <c r="J117">
        <v>0</v>
      </c>
      <c r="K117">
        <v>0</v>
      </c>
      <c r="L117" t="str">
        <f>VLOOKUP(G117,consolodiado!A:C,3,0)</f>
        <v>04</v>
      </c>
      <c r="M117" t="str">
        <f>VLOOKUP(G117,consolodiado!A:D,4,0)</f>
        <v>06</v>
      </c>
    </row>
    <row r="118" spans="1:13" x14ac:dyDescent="0.25">
      <c r="A118" s="39" t="s">
        <v>149</v>
      </c>
      <c r="B118" s="13">
        <v>2646</v>
      </c>
      <c r="C118" s="13">
        <v>0</v>
      </c>
      <c r="D118" s="13">
        <v>0</v>
      </c>
      <c r="E118" s="13">
        <v>0</v>
      </c>
      <c r="G118" t="s">
        <v>149</v>
      </c>
      <c r="H118">
        <v>2646</v>
      </c>
      <c r="I118">
        <v>0</v>
      </c>
      <c r="J118">
        <v>0</v>
      </c>
      <c r="K118">
        <v>0</v>
      </c>
      <c r="L118" t="str">
        <f>VLOOKUP(G118,consolodiado!A:C,3,0)</f>
        <v>04</v>
      </c>
      <c r="M118" t="str">
        <f>VLOOKUP(G118,consolodiado!A:D,4,0)</f>
        <v>85</v>
      </c>
    </row>
    <row r="119" spans="1:13" x14ac:dyDescent="0.25">
      <c r="A119" s="39" t="s">
        <v>75</v>
      </c>
      <c r="B119" s="13">
        <v>1107</v>
      </c>
      <c r="C119" s="13">
        <v>0</v>
      </c>
      <c r="D119" s="13">
        <v>7852</v>
      </c>
      <c r="E119" s="13">
        <v>0</v>
      </c>
      <c r="G119" t="s">
        <v>75</v>
      </c>
      <c r="H119">
        <v>1107</v>
      </c>
      <c r="I119">
        <v>0</v>
      </c>
      <c r="J119">
        <v>7852</v>
      </c>
      <c r="K119">
        <v>0</v>
      </c>
      <c r="L119" t="str">
        <f>VLOOKUP(G119,consolodiado!A:C,3,0)</f>
        <v>04</v>
      </c>
      <c r="M119" t="str">
        <f>VLOOKUP(G119,consolodiado!A:D,4,0)</f>
        <v>85</v>
      </c>
    </row>
    <row r="120" spans="1:13" x14ac:dyDescent="0.25">
      <c r="A120" s="39" t="s">
        <v>255</v>
      </c>
      <c r="B120" s="13">
        <v>15874</v>
      </c>
      <c r="C120" s="13">
        <v>0</v>
      </c>
      <c r="D120" s="13">
        <v>0</v>
      </c>
      <c r="E120" s="13">
        <v>1694</v>
      </c>
      <c r="G120" t="s">
        <v>255</v>
      </c>
      <c r="H120">
        <v>15874</v>
      </c>
      <c r="I120">
        <v>0</v>
      </c>
      <c r="J120">
        <v>0</v>
      </c>
      <c r="K120">
        <v>1694</v>
      </c>
      <c r="L120" t="str">
        <f>VLOOKUP(G120,consolodiado!A:C,3,0)</f>
        <v>04</v>
      </c>
      <c r="M120" t="str">
        <f>VLOOKUP(G120,consolodiado!A:D,4,0)</f>
        <v>03</v>
      </c>
    </row>
    <row r="121" spans="1:13" x14ac:dyDescent="0.25">
      <c r="A121" s="39" t="s">
        <v>314</v>
      </c>
      <c r="B121" s="13">
        <v>280000</v>
      </c>
      <c r="C121" s="13">
        <v>0</v>
      </c>
      <c r="D121" s="13">
        <v>0</v>
      </c>
      <c r="E121" s="13">
        <v>29867</v>
      </c>
      <c r="G121" t="s">
        <v>314</v>
      </c>
      <c r="H121">
        <v>280000</v>
      </c>
      <c r="I121">
        <v>0</v>
      </c>
      <c r="J121">
        <v>0</v>
      </c>
      <c r="K121">
        <v>29867</v>
      </c>
      <c r="L121" t="str">
        <f>VLOOKUP(G121,consolodiado!A:C,3,0)</f>
        <v>04</v>
      </c>
      <c r="M121" t="str">
        <f>VLOOKUP(G121,consolodiado!A:D,4,0)</f>
        <v>85</v>
      </c>
    </row>
    <row r="122" spans="1:13" x14ac:dyDescent="0.25">
      <c r="A122" s="39" t="s">
        <v>123</v>
      </c>
      <c r="B122" s="13">
        <v>63321</v>
      </c>
      <c r="C122" s="13">
        <v>0</v>
      </c>
      <c r="D122" s="13">
        <v>0</v>
      </c>
      <c r="E122" s="13">
        <v>0</v>
      </c>
      <c r="G122" t="s">
        <v>123</v>
      </c>
      <c r="H122">
        <v>63321</v>
      </c>
      <c r="I122">
        <v>0</v>
      </c>
      <c r="J122">
        <v>0</v>
      </c>
      <c r="K122">
        <v>0</v>
      </c>
      <c r="L122" t="str">
        <f>VLOOKUP(G122,consolodiado!A:C,3,0)</f>
        <v>04</v>
      </c>
      <c r="M122" t="str">
        <f>VLOOKUP(G122,consolodiado!A:D,4,0)</f>
        <v>85</v>
      </c>
    </row>
    <row r="123" spans="1:13" x14ac:dyDescent="0.25">
      <c r="A123" s="39" t="s">
        <v>69</v>
      </c>
      <c r="B123" s="13">
        <v>0</v>
      </c>
      <c r="C123" s="13">
        <v>0</v>
      </c>
      <c r="D123" s="13">
        <v>12159</v>
      </c>
      <c r="E123" s="13">
        <v>0</v>
      </c>
      <c r="G123" t="s">
        <v>69</v>
      </c>
      <c r="H123">
        <v>0</v>
      </c>
      <c r="I123">
        <v>0</v>
      </c>
      <c r="J123">
        <v>12159</v>
      </c>
      <c r="K123">
        <v>0</v>
      </c>
      <c r="L123" t="str">
        <f>VLOOKUP(G123,consolodiado!A:C,3,0)</f>
        <v>04</v>
      </c>
      <c r="M123" t="str">
        <f>VLOOKUP(G123,consolodiado!A:D,4,0)</f>
        <v>03</v>
      </c>
    </row>
    <row r="124" spans="1:13" x14ac:dyDescent="0.25">
      <c r="A124" s="39" t="s">
        <v>293</v>
      </c>
      <c r="B124" s="13">
        <v>2595</v>
      </c>
      <c r="C124" s="13">
        <v>0</v>
      </c>
      <c r="D124" s="13">
        <v>0</v>
      </c>
      <c r="E124" s="13">
        <v>0</v>
      </c>
      <c r="G124" t="s">
        <v>293</v>
      </c>
      <c r="H124">
        <v>2595</v>
      </c>
      <c r="I124">
        <v>0</v>
      </c>
      <c r="J124">
        <v>0</v>
      </c>
      <c r="K124">
        <v>0</v>
      </c>
      <c r="L124" t="str">
        <f>VLOOKUP(G124,consolodiado!A:C,3,0)</f>
        <v>04</v>
      </c>
      <c r="M124" t="str">
        <f>VLOOKUP(G124,consolodiado!A:D,4,0)</f>
        <v>85</v>
      </c>
    </row>
    <row r="125" spans="1:13" x14ac:dyDescent="0.25">
      <c r="A125" s="39" t="s">
        <v>382</v>
      </c>
      <c r="B125" s="13">
        <v>12380</v>
      </c>
      <c r="C125" s="13">
        <v>0</v>
      </c>
      <c r="D125" s="13">
        <v>0</v>
      </c>
      <c r="E125" s="13">
        <v>0</v>
      </c>
      <c r="G125" t="s">
        <v>382</v>
      </c>
      <c r="H125">
        <v>12380</v>
      </c>
      <c r="I125">
        <v>0</v>
      </c>
      <c r="J125">
        <v>0</v>
      </c>
      <c r="K125">
        <v>0</v>
      </c>
      <c r="L125" t="str">
        <f>VLOOKUP(G125,consolodiado!A:C,3,0)</f>
        <v>04</v>
      </c>
      <c r="M125" t="str">
        <f>VLOOKUP(G125,consolodiado!A:D,4,0)</f>
        <v>85</v>
      </c>
    </row>
    <row r="126" spans="1:13" x14ac:dyDescent="0.25">
      <c r="A126" s="39" t="s">
        <v>112</v>
      </c>
      <c r="B126" s="13">
        <v>50609</v>
      </c>
      <c r="C126" s="13">
        <v>0</v>
      </c>
      <c r="D126" s="13">
        <v>0</v>
      </c>
      <c r="E126" s="13">
        <v>5398</v>
      </c>
      <c r="G126" t="s">
        <v>112</v>
      </c>
      <c r="H126">
        <v>50609</v>
      </c>
      <c r="I126">
        <v>0</v>
      </c>
      <c r="J126">
        <v>0</v>
      </c>
      <c r="K126">
        <v>5398</v>
      </c>
      <c r="L126" t="str">
        <f>VLOOKUP(G126,consolodiado!A:C,3,0)</f>
        <v>04</v>
      </c>
      <c r="M126" t="str">
        <f>VLOOKUP(G126,consolodiado!A:D,4,0)</f>
        <v>06</v>
      </c>
    </row>
    <row r="127" spans="1:13" x14ac:dyDescent="0.25">
      <c r="A127" s="39" t="s">
        <v>333</v>
      </c>
      <c r="B127" s="13">
        <v>8970</v>
      </c>
      <c r="C127" s="13">
        <v>0</v>
      </c>
      <c r="D127" s="13">
        <v>0</v>
      </c>
      <c r="E127" s="13">
        <v>0</v>
      </c>
      <c r="G127" t="s">
        <v>333</v>
      </c>
      <c r="H127">
        <v>8970</v>
      </c>
      <c r="I127">
        <v>0</v>
      </c>
      <c r="J127">
        <v>0</v>
      </c>
      <c r="K127">
        <v>0</v>
      </c>
      <c r="L127" t="str">
        <f>VLOOKUP(G127,consolodiado!A:C,3,0)</f>
        <v>04</v>
      </c>
      <c r="M127" t="str">
        <f>VLOOKUP(G127,consolodiado!A:D,4,0)</f>
        <v>85</v>
      </c>
    </row>
    <row r="128" spans="1:13" x14ac:dyDescent="0.25">
      <c r="A128" s="39" t="s">
        <v>78</v>
      </c>
      <c r="B128" s="13">
        <v>0</v>
      </c>
      <c r="C128" s="13">
        <v>1644065</v>
      </c>
      <c r="D128" s="13">
        <v>0</v>
      </c>
      <c r="E128" s="13">
        <v>0</v>
      </c>
      <c r="G128" t="s">
        <v>78</v>
      </c>
      <c r="H128">
        <v>0</v>
      </c>
      <c r="I128">
        <v>1644065</v>
      </c>
      <c r="J128">
        <v>0</v>
      </c>
      <c r="K128">
        <v>0</v>
      </c>
      <c r="L128" t="str">
        <f>VLOOKUP(G128,consolodiado!A:C,3,0)</f>
        <v>04</v>
      </c>
      <c r="M128" t="str">
        <f>VLOOKUP(G128,consolodiado!A:D,4,0)</f>
        <v>85</v>
      </c>
    </row>
    <row r="129" spans="1:13" x14ac:dyDescent="0.25">
      <c r="A129" s="39" t="s">
        <v>152</v>
      </c>
      <c r="B129" s="13">
        <v>1552</v>
      </c>
      <c r="C129" s="13">
        <v>0</v>
      </c>
      <c r="D129" s="13">
        <v>0</v>
      </c>
      <c r="E129" s="13">
        <v>0</v>
      </c>
      <c r="G129" t="s">
        <v>152</v>
      </c>
      <c r="H129">
        <v>1552</v>
      </c>
      <c r="I129">
        <v>0</v>
      </c>
      <c r="J129">
        <v>0</v>
      </c>
      <c r="K129">
        <v>0</v>
      </c>
      <c r="L129" t="str">
        <f>VLOOKUP(G129,consolodiado!A:C,3,0)</f>
        <v>04</v>
      </c>
      <c r="M129" t="str">
        <f>VLOOKUP(G129,consolodiado!A:D,4,0)</f>
        <v>85</v>
      </c>
    </row>
    <row r="130" spans="1:13" x14ac:dyDescent="0.25">
      <c r="A130" s="39" t="s">
        <v>79</v>
      </c>
      <c r="B130" s="13">
        <v>0</v>
      </c>
      <c r="C130" s="13">
        <v>30843</v>
      </c>
      <c r="D130" s="13">
        <v>34190</v>
      </c>
      <c r="E130" s="13">
        <v>0</v>
      </c>
      <c r="G130" t="s">
        <v>79</v>
      </c>
      <c r="H130">
        <v>0</v>
      </c>
      <c r="I130">
        <v>30843</v>
      </c>
      <c r="J130">
        <v>34190</v>
      </c>
      <c r="K130">
        <v>0</v>
      </c>
      <c r="L130" t="str">
        <f>VLOOKUP(G130,consolodiado!A:C,3,0)</f>
        <v>04</v>
      </c>
      <c r="M130" t="str">
        <f>VLOOKUP(G130,consolodiado!A:D,4,0)</f>
        <v>85</v>
      </c>
    </row>
    <row r="131" spans="1:13" x14ac:dyDescent="0.25">
      <c r="A131" s="39" t="s">
        <v>175</v>
      </c>
      <c r="B131" s="13">
        <v>0</v>
      </c>
      <c r="C131" s="13">
        <v>0</v>
      </c>
      <c r="D131" s="13">
        <v>0</v>
      </c>
      <c r="E131" s="13">
        <v>3342</v>
      </c>
      <c r="G131" t="s">
        <v>175</v>
      </c>
      <c r="H131">
        <v>0</v>
      </c>
      <c r="I131">
        <v>0</v>
      </c>
      <c r="J131">
        <v>0</v>
      </c>
      <c r="K131">
        <v>3342</v>
      </c>
      <c r="L131" t="str">
        <f>VLOOKUP(G131,consolodiado!A:C,3,0)</f>
        <v>04</v>
      </c>
      <c r="M131" t="str">
        <f>VLOOKUP(G131,consolodiado!A:D,4,0)</f>
        <v>06</v>
      </c>
    </row>
    <row r="132" spans="1:13" x14ac:dyDescent="0.25">
      <c r="A132" s="39" t="s">
        <v>362</v>
      </c>
      <c r="B132" s="13">
        <v>20000</v>
      </c>
      <c r="C132" s="13">
        <v>0</v>
      </c>
      <c r="D132" s="13">
        <v>0</v>
      </c>
      <c r="E132" s="13">
        <v>2133</v>
      </c>
      <c r="G132" t="s">
        <v>362</v>
      </c>
      <c r="H132">
        <v>20000</v>
      </c>
      <c r="I132">
        <v>0</v>
      </c>
      <c r="J132">
        <v>0</v>
      </c>
      <c r="K132">
        <v>2133</v>
      </c>
      <c r="L132" t="str">
        <f>VLOOKUP(G132,consolodiado!A:C,3,0)</f>
        <v>04</v>
      </c>
      <c r="M132" t="str">
        <f>VLOOKUP(G132,consolodiado!A:D,4,0)</f>
        <v>03</v>
      </c>
    </row>
    <row r="133" spans="1:13" x14ac:dyDescent="0.25">
      <c r="A133" s="39" t="s">
        <v>277</v>
      </c>
      <c r="B133" s="13">
        <v>507</v>
      </c>
      <c r="C133" s="13">
        <v>0</v>
      </c>
      <c r="D133" s="13">
        <v>0</v>
      </c>
      <c r="E133" s="13">
        <v>0</v>
      </c>
      <c r="G133" t="s">
        <v>277</v>
      </c>
      <c r="H133">
        <v>507</v>
      </c>
      <c r="I133">
        <v>0</v>
      </c>
      <c r="J133">
        <v>0</v>
      </c>
      <c r="K133">
        <v>0</v>
      </c>
      <c r="L133" t="str">
        <f>VLOOKUP(G133,consolodiado!A:C,3,0)</f>
        <v>04</v>
      </c>
      <c r="M133" t="str">
        <f>VLOOKUP(G133,consolodiado!A:D,4,0)</f>
        <v>85</v>
      </c>
    </row>
    <row r="134" spans="1:13" x14ac:dyDescent="0.25">
      <c r="A134" s="39" t="s">
        <v>265</v>
      </c>
      <c r="B134" s="13">
        <v>0</v>
      </c>
      <c r="C134" s="13">
        <v>2471</v>
      </c>
      <c r="D134" s="13">
        <v>0</v>
      </c>
      <c r="E134" s="13">
        <v>0</v>
      </c>
      <c r="G134" t="s">
        <v>265</v>
      </c>
      <c r="H134">
        <v>0</v>
      </c>
      <c r="I134">
        <v>2471</v>
      </c>
      <c r="J134">
        <v>0</v>
      </c>
      <c r="K134">
        <v>0</v>
      </c>
      <c r="L134" t="str">
        <f>VLOOKUP(G134,consolodiado!A:C,3,0)</f>
        <v>04</v>
      </c>
      <c r="M134" t="str">
        <f>VLOOKUP(G134,consolodiado!A:D,4,0)</f>
        <v>85</v>
      </c>
    </row>
    <row r="135" spans="1:13" x14ac:dyDescent="0.25">
      <c r="A135" s="39" t="s">
        <v>154</v>
      </c>
      <c r="B135" s="13">
        <v>9450</v>
      </c>
      <c r="C135" s="13">
        <v>0</v>
      </c>
      <c r="D135" s="13">
        <v>0</v>
      </c>
      <c r="E135" s="13">
        <v>0</v>
      </c>
      <c r="G135" t="s">
        <v>154</v>
      </c>
      <c r="H135">
        <v>9450</v>
      </c>
      <c r="I135">
        <v>0</v>
      </c>
      <c r="J135">
        <v>0</v>
      </c>
      <c r="K135">
        <v>0</v>
      </c>
      <c r="L135" t="str">
        <f>VLOOKUP(G135,consolodiado!A:C,3,0)</f>
        <v>04</v>
      </c>
      <c r="M135" t="str">
        <f>VLOOKUP(G135,consolodiado!A:D,4,0)</f>
        <v>85</v>
      </c>
    </row>
    <row r="136" spans="1:13" x14ac:dyDescent="0.25">
      <c r="A136" s="39" t="s">
        <v>289</v>
      </c>
      <c r="B136" s="13">
        <v>1784</v>
      </c>
      <c r="C136" s="13">
        <v>0</v>
      </c>
      <c r="D136" s="13">
        <v>0</v>
      </c>
      <c r="E136" s="13">
        <v>0</v>
      </c>
      <c r="G136" t="s">
        <v>289</v>
      </c>
      <c r="H136">
        <v>1784</v>
      </c>
      <c r="I136">
        <v>0</v>
      </c>
      <c r="J136">
        <v>0</v>
      </c>
      <c r="K136">
        <v>0</v>
      </c>
      <c r="L136" t="str">
        <f>VLOOKUP(G136,consolodiado!A:C,3,0)</f>
        <v>04</v>
      </c>
      <c r="M136" t="str">
        <f>VLOOKUP(G136,consolodiado!A:D,4,0)</f>
        <v>85</v>
      </c>
    </row>
    <row r="137" spans="1:13" x14ac:dyDescent="0.25">
      <c r="A137" s="39" t="s">
        <v>155</v>
      </c>
      <c r="B137" s="13">
        <v>6274</v>
      </c>
      <c r="C137" s="13">
        <v>0</v>
      </c>
      <c r="D137" s="13">
        <v>0</v>
      </c>
      <c r="E137" s="13">
        <v>0</v>
      </c>
      <c r="G137" t="s">
        <v>155</v>
      </c>
      <c r="H137">
        <v>6274</v>
      </c>
      <c r="I137">
        <v>0</v>
      </c>
      <c r="J137">
        <v>0</v>
      </c>
      <c r="K137">
        <v>0</v>
      </c>
      <c r="L137" t="str">
        <f>VLOOKUP(G137,consolodiado!A:C,3,0)</f>
        <v>04</v>
      </c>
      <c r="M137" t="str">
        <f>VLOOKUP(G137,consolodiado!A:D,4,0)</f>
        <v>85</v>
      </c>
    </row>
    <row r="138" spans="1:13" x14ac:dyDescent="0.25">
      <c r="A138" s="39" t="s">
        <v>291</v>
      </c>
      <c r="B138" s="13">
        <v>1569</v>
      </c>
      <c r="C138" s="13">
        <v>0</v>
      </c>
      <c r="D138" s="13">
        <v>0</v>
      </c>
      <c r="E138" s="13">
        <v>0</v>
      </c>
      <c r="G138" t="s">
        <v>291</v>
      </c>
      <c r="H138">
        <v>1569</v>
      </c>
      <c r="I138">
        <v>0</v>
      </c>
      <c r="J138">
        <v>0</v>
      </c>
      <c r="K138">
        <v>0</v>
      </c>
      <c r="L138" t="str">
        <f>VLOOKUP(G138,consolodiado!A:C,3,0)</f>
        <v>04</v>
      </c>
      <c r="M138" t="str">
        <f>VLOOKUP(G138,consolodiado!A:D,4,0)</f>
        <v>85</v>
      </c>
    </row>
    <row r="139" spans="1:13" x14ac:dyDescent="0.25">
      <c r="A139" s="39" t="s">
        <v>151</v>
      </c>
      <c r="B139" s="13">
        <v>1958</v>
      </c>
      <c r="C139" s="13">
        <v>0</v>
      </c>
      <c r="D139" s="13">
        <v>0</v>
      </c>
      <c r="E139" s="13">
        <v>0</v>
      </c>
      <c r="G139" t="s">
        <v>151</v>
      </c>
      <c r="H139">
        <v>1958</v>
      </c>
      <c r="I139">
        <v>0</v>
      </c>
      <c r="J139">
        <v>0</v>
      </c>
      <c r="K139">
        <v>0</v>
      </c>
      <c r="L139" t="str">
        <f>VLOOKUP(G139,consolodiado!A:C,3,0)</f>
        <v>04</v>
      </c>
      <c r="M139" t="str">
        <f>VLOOKUP(G139,consolodiado!A:D,4,0)</f>
        <v>85</v>
      </c>
    </row>
    <row r="140" spans="1:13" x14ac:dyDescent="0.25">
      <c r="A140" s="39" t="s">
        <v>150</v>
      </c>
      <c r="B140" s="13">
        <v>0</v>
      </c>
      <c r="C140" s="13">
        <v>0</v>
      </c>
      <c r="D140" s="13">
        <v>42815</v>
      </c>
      <c r="E140" s="13">
        <v>0</v>
      </c>
      <c r="G140" t="s">
        <v>150</v>
      </c>
      <c r="H140">
        <v>0</v>
      </c>
      <c r="I140">
        <v>0</v>
      </c>
      <c r="J140">
        <v>42815</v>
      </c>
      <c r="K140">
        <v>0</v>
      </c>
      <c r="L140" t="str">
        <f>VLOOKUP(G140,consolodiado!A:C,3,0)</f>
        <v>04</v>
      </c>
      <c r="M140" t="str">
        <f>VLOOKUP(G140,consolodiado!A:D,4,0)</f>
        <v>85</v>
      </c>
    </row>
    <row r="141" spans="1:13" x14ac:dyDescent="0.25">
      <c r="A141" s="39" t="s">
        <v>322</v>
      </c>
      <c r="B141" s="13">
        <v>175000</v>
      </c>
      <c r="C141" s="13">
        <v>0</v>
      </c>
      <c r="D141" s="13">
        <v>0</v>
      </c>
      <c r="E141" s="13">
        <v>18667</v>
      </c>
      <c r="G141" t="s">
        <v>322</v>
      </c>
      <c r="H141">
        <v>175000</v>
      </c>
      <c r="I141">
        <v>0</v>
      </c>
      <c r="J141">
        <v>0</v>
      </c>
      <c r="K141">
        <v>18667</v>
      </c>
      <c r="L141" t="str">
        <f>VLOOKUP(G141,consolodiado!A:C,3,0)</f>
        <v>04</v>
      </c>
      <c r="M141" t="str">
        <f>VLOOKUP(G141,consolodiado!A:D,4,0)</f>
        <v>03</v>
      </c>
    </row>
    <row r="142" spans="1:13" x14ac:dyDescent="0.25">
      <c r="A142" s="39" t="s">
        <v>287</v>
      </c>
      <c r="B142" s="13">
        <v>0</v>
      </c>
      <c r="C142" s="13">
        <v>0</v>
      </c>
      <c r="D142" s="13">
        <v>1254</v>
      </c>
      <c r="E142" s="13">
        <v>0</v>
      </c>
      <c r="G142" t="s">
        <v>287</v>
      </c>
      <c r="H142">
        <v>0</v>
      </c>
      <c r="I142">
        <v>0</v>
      </c>
      <c r="J142">
        <v>1254</v>
      </c>
      <c r="K142">
        <v>0</v>
      </c>
      <c r="L142" t="str">
        <f>VLOOKUP(G142,consolodiado!A:C,3,0)</f>
        <v>04</v>
      </c>
      <c r="M142" t="str">
        <f>VLOOKUP(G142,consolodiado!A:D,4,0)</f>
        <v>03</v>
      </c>
    </row>
    <row r="143" spans="1:13" x14ac:dyDescent="0.25">
      <c r="A143" s="39" t="s">
        <v>166</v>
      </c>
      <c r="B143" s="13">
        <v>4044</v>
      </c>
      <c r="C143" s="13">
        <v>0</v>
      </c>
      <c r="D143" s="13">
        <v>0</v>
      </c>
      <c r="E143" s="13">
        <v>0</v>
      </c>
      <c r="G143" t="s">
        <v>166</v>
      </c>
      <c r="H143">
        <v>4044</v>
      </c>
      <c r="I143">
        <v>0</v>
      </c>
      <c r="J143">
        <v>0</v>
      </c>
      <c r="K143">
        <v>0</v>
      </c>
      <c r="L143" t="str">
        <f>VLOOKUP(G143,consolodiado!A:C,3,0)</f>
        <v>04</v>
      </c>
      <c r="M143" t="str">
        <f>VLOOKUP(G143,consolodiado!A:D,4,0)</f>
        <v>85</v>
      </c>
    </row>
    <row r="144" spans="1:13" x14ac:dyDescent="0.25">
      <c r="A144" s="39" t="s">
        <v>245</v>
      </c>
      <c r="B144" s="13">
        <v>160</v>
      </c>
      <c r="C144" s="13">
        <v>0</v>
      </c>
      <c r="D144" s="13">
        <v>0</v>
      </c>
      <c r="E144" s="13">
        <v>0</v>
      </c>
      <c r="G144" t="s">
        <v>245</v>
      </c>
      <c r="H144">
        <v>160</v>
      </c>
      <c r="I144">
        <v>0</v>
      </c>
      <c r="J144">
        <v>0</v>
      </c>
      <c r="K144">
        <v>0</v>
      </c>
      <c r="L144" t="str">
        <f>VLOOKUP(G144,consolodiado!A:C,3,0)</f>
        <v>04</v>
      </c>
      <c r="M144" t="str">
        <f>VLOOKUP(G144,consolodiado!A:D,4,0)</f>
        <v>85</v>
      </c>
    </row>
    <row r="145" spans="1:13" x14ac:dyDescent="0.25">
      <c r="A145" s="39" t="s">
        <v>178</v>
      </c>
      <c r="B145" s="13">
        <v>10504</v>
      </c>
      <c r="C145" s="13">
        <v>0</v>
      </c>
      <c r="D145" s="13">
        <v>0</v>
      </c>
      <c r="E145" s="13">
        <v>0</v>
      </c>
      <c r="G145" t="s">
        <v>178</v>
      </c>
      <c r="H145">
        <v>10504</v>
      </c>
      <c r="I145">
        <v>0</v>
      </c>
      <c r="J145">
        <v>0</v>
      </c>
      <c r="K145">
        <v>0</v>
      </c>
      <c r="L145" t="str">
        <f>VLOOKUP(G145,consolodiado!A:C,3,0)</f>
        <v>04</v>
      </c>
      <c r="M145" t="str">
        <f>VLOOKUP(G145,consolodiado!A:D,4,0)</f>
        <v>85</v>
      </c>
    </row>
    <row r="146" spans="1:13" x14ac:dyDescent="0.25">
      <c r="A146" s="39" t="s">
        <v>327</v>
      </c>
      <c r="B146" s="13">
        <v>1410</v>
      </c>
      <c r="C146" s="13">
        <v>0</v>
      </c>
      <c r="D146" s="13">
        <v>0</v>
      </c>
      <c r="E146" s="13">
        <v>0</v>
      </c>
      <c r="G146" t="s">
        <v>327</v>
      </c>
      <c r="H146">
        <v>1410</v>
      </c>
      <c r="I146">
        <v>0</v>
      </c>
      <c r="J146">
        <v>0</v>
      </c>
      <c r="K146">
        <v>0</v>
      </c>
      <c r="L146" t="str">
        <f>VLOOKUP(G146,consolodiado!A:C,3,0)</f>
        <v>04</v>
      </c>
      <c r="M146" t="str">
        <f>VLOOKUP(G146,consolodiado!A:D,4,0)</f>
        <v>85</v>
      </c>
    </row>
    <row r="147" spans="1:13" x14ac:dyDescent="0.25">
      <c r="A147" s="39" t="s">
        <v>105</v>
      </c>
      <c r="B147" s="13">
        <v>14400</v>
      </c>
      <c r="C147" s="13">
        <v>0</v>
      </c>
      <c r="D147" s="13">
        <v>0</v>
      </c>
      <c r="E147" s="13">
        <v>1536</v>
      </c>
      <c r="G147" t="s">
        <v>105</v>
      </c>
      <c r="H147">
        <v>14400</v>
      </c>
      <c r="I147">
        <v>0</v>
      </c>
      <c r="J147">
        <v>0</v>
      </c>
      <c r="K147">
        <v>1536</v>
      </c>
      <c r="L147" t="str">
        <f>VLOOKUP(G147,consolodiado!A:C,3,0)</f>
        <v>04</v>
      </c>
      <c r="M147" t="str">
        <f>VLOOKUP(G147,consolodiado!A:D,4,0)</f>
        <v>03</v>
      </c>
    </row>
    <row r="148" spans="1:13" x14ac:dyDescent="0.25">
      <c r="A148" s="39" t="s">
        <v>156</v>
      </c>
      <c r="B148" s="13">
        <v>344</v>
      </c>
      <c r="C148" s="13">
        <v>0</v>
      </c>
      <c r="D148" s="13">
        <v>0</v>
      </c>
      <c r="E148" s="13">
        <v>0</v>
      </c>
      <c r="G148" t="s">
        <v>156</v>
      </c>
      <c r="H148">
        <v>344</v>
      </c>
      <c r="I148">
        <v>0</v>
      </c>
      <c r="J148">
        <v>0</v>
      </c>
      <c r="K148">
        <v>0</v>
      </c>
      <c r="L148" t="str">
        <f>VLOOKUP(G148,consolodiado!A:C,3,0)</f>
        <v>04</v>
      </c>
      <c r="M148" t="str">
        <f>VLOOKUP(G148,consolodiado!A:D,4,0)</f>
        <v>85</v>
      </c>
    </row>
    <row r="149" spans="1:13" x14ac:dyDescent="0.25">
      <c r="A149" s="39" t="s">
        <v>157</v>
      </c>
      <c r="B149" s="13">
        <v>1976</v>
      </c>
      <c r="C149" s="13">
        <v>0</v>
      </c>
      <c r="D149" s="13">
        <v>0</v>
      </c>
      <c r="E149" s="13">
        <v>0</v>
      </c>
      <c r="G149" t="s">
        <v>157</v>
      </c>
      <c r="H149">
        <v>1976</v>
      </c>
      <c r="I149">
        <v>0</v>
      </c>
      <c r="J149">
        <v>0</v>
      </c>
      <c r="K149">
        <v>0</v>
      </c>
      <c r="L149" t="str">
        <f>VLOOKUP(G149,consolodiado!A:C,3,0)</f>
        <v>04</v>
      </c>
      <c r="M149" t="str">
        <f>VLOOKUP(G149,consolodiado!A:D,4,0)</f>
        <v>85</v>
      </c>
    </row>
    <row r="150" spans="1:13" x14ac:dyDescent="0.25">
      <c r="A150" s="39" t="s">
        <v>253</v>
      </c>
      <c r="B150" s="13">
        <v>1558</v>
      </c>
      <c r="C150" s="13">
        <v>0</v>
      </c>
      <c r="D150" s="13">
        <v>0</v>
      </c>
      <c r="E150" s="13">
        <v>0</v>
      </c>
      <c r="G150" t="s">
        <v>253</v>
      </c>
      <c r="H150">
        <v>1558</v>
      </c>
      <c r="I150">
        <v>0</v>
      </c>
      <c r="J150">
        <v>0</v>
      </c>
      <c r="K150">
        <v>0</v>
      </c>
      <c r="L150" t="str">
        <f>VLOOKUP(G150,consolodiado!A:C,3,0)</f>
        <v>04</v>
      </c>
      <c r="M150" t="str">
        <f>VLOOKUP(G150,consolodiado!A:D,4,0)</f>
        <v>85</v>
      </c>
    </row>
    <row r="151" spans="1:13" x14ac:dyDescent="0.25">
      <c r="A151" s="39" t="s">
        <v>158</v>
      </c>
      <c r="B151" s="13">
        <v>118560</v>
      </c>
      <c r="C151" s="13">
        <v>0</v>
      </c>
      <c r="D151" s="13">
        <v>0</v>
      </c>
      <c r="E151" s="13">
        <v>0</v>
      </c>
      <c r="G151" t="s">
        <v>158</v>
      </c>
      <c r="H151">
        <v>118560</v>
      </c>
      <c r="I151">
        <v>0</v>
      </c>
      <c r="J151">
        <v>0</v>
      </c>
      <c r="K151">
        <v>0</v>
      </c>
      <c r="L151" t="str">
        <f>VLOOKUP(G151,consolodiado!A:C,3,0)</f>
        <v>04</v>
      </c>
      <c r="M151" t="str">
        <f>VLOOKUP(G151,consolodiado!A:D,4,0)</f>
        <v>85</v>
      </c>
    </row>
    <row r="152" spans="1:13" x14ac:dyDescent="0.25">
      <c r="A152" s="39" t="s">
        <v>364</v>
      </c>
      <c r="B152" s="13">
        <v>0</v>
      </c>
      <c r="C152" s="13">
        <v>0</v>
      </c>
      <c r="D152" s="13">
        <v>6059</v>
      </c>
      <c r="E152" s="13">
        <v>0</v>
      </c>
      <c r="G152" t="s">
        <v>364</v>
      </c>
      <c r="H152">
        <v>0</v>
      </c>
      <c r="I152">
        <v>0</v>
      </c>
      <c r="J152">
        <v>6059</v>
      </c>
      <c r="K152">
        <v>0</v>
      </c>
      <c r="L152" t="str">
        <f>VLOOKUP(G152,consolodiado!A:C,3,0)</f>
        <v>04</v>
      </c>
      <c r="M152" t="str">
        <f>VLOOKUP(G152,consolodiado!A:D,4,0)</f>
        <v>03</v>
      </c>
    </row>
    <row r="153" spans="1:13" x14ac:dyDescent="0.25">
      <c r="A153" s="39" t="s">
        <v>137</v>
      </c>
      <c r="B153" s="13">
        <v>11250</v>
      </c>
      <c r="C153" s="13">
        <v>0</v>
      </c>
      <c r="D153" s="13">
        <v>0</v>
      </c>
      <c r="E153" s="13">
        <v>1200</v>
      </c>
      <c r="G153" t="s">
        <v>137</v>
      </c>
      <c r="H153">
        <v>11250</v>
      </c>
      <c r="I153">
        <v>0</v>
      </c>
      <c r="J153">
        <v>0</v>
      </c>
      <c r="K153">
        <v>1200</v>
      </c>
      <c r="L153" t="str">
        <f>VLOOKUP(G153,consolodiado!A:C,3,0)</f>
        <v>04</v>
      </c>
      <c r="M153" t="str">
        <f>VLOOKUP(G153,consolodiado!A:D,4,0)</f>
        <v>03</v>
      </c>
    </row>
    <row r="154" spans="1:13" x14ac:dyDescent="0.25">
      <c r="A154" s="39" t="s">
        <v>125</v>
      </c>
      <c r="B154" s="13">
        <v>16655</v>
      </c>
      <c r="C154" s="13">
        <v>0</v>
      </c>
      <c r="D154" s="13">
        <v>0</v>
      </c>
      <c r="E154" s="13">
        <v>0</v>
      </c>
      <c r="G154" t="s">
        <v>125</v>
      </c>
      <c r="H154">
        <v>16655</v>
      </c>
      <c r="I154">
        <v>0</v>
      </c>
      <c r="J154">
        <v>0</v>
      </c>
      <c r="K154">
        <v>0</v>
      </c>
      <c r="L154" t="str">
        <f>VLOOKUP(G154,consolodiado!A:C,3,0)</f>
        <v>04</v>
      </c>
      <c r="M154" t="str">
        <f>VLOOKUP(G154,consolodiado!A:D,4,0)</f>
        <v>85</v>
      </c>
    </row>
    <row r="155" spans="1:13" x14ac:dyDescent="0.25">
      <c r="A155" s="39" t="s">
        <v>388</v>
      </c>
      <c r="B155" s="13">
        <v>800</v>
      </c>
      <c r="C155" s="13">
        <v>0</v>
      </c>
      <c r="D155" s="13">
        <v>0</v>
      </c>
      <c r="E155" s="13">
        <v>0</v>
      </c>
      <c r="G155" t="s">
        <v>388</v>
      </c>
      <c r="H155">
        <v>800</v>
      </c>
      <c r="I155">
        <v>0</v>
      </c>
      <c r="J155">
        <v>0</v>
      </c>
      <c r="K155">
        <v>0</v>
      </c>
      <c r="L155" t="str">
        <f>VLOOKUP(G155,consolodiado!A:C,3,0)</f>
        <v>04</v>
      </c>
      <c r="M155" t="str">
        <f>VLOOKUP(G155,consolodiado!A:D,4,0)</f>
        <v>85</v>
      </c>
    </row>
    <row r="156" spans="1:13" x14ac:dyDescent="0.25">
      <c r="A156" s="39" t="s">
        <v>160</v>
      </c>
      <c r="B156" s="13">
        <v>13000</v>
      </c>
      <c r="C156" s="13">
        <v>0</v>
      </c>
      <c r="D156" s="13">
        <v>0</v>
      </c>
      <c r="E156" s="13">
        <v>0</v>
      </c>
      <c r="G156" t="s">
        <v>160</v>
      </c>
      <c r="H156">
        <v>13000</v>
      </c>
      <c r="I156">
        <v>0</v>
      </c>
      <c r="J156">
        <v>0</v>
      </c>
      <c r="K156">
        <v>0</v>
      </c>
      <c r="L156" t="str">
        <f>VLOOKUP(G156,consolodiado!A:C,3,0)</f>
        <v>04</v>
      </c>
      <c r="M156" t="str">
        <f>VLOOKUP(G156,consolodiado!A:D,4,0)</f>
        <v>85</v>
      </c>
    </row>
    <row r="157" spans="1:13" x14ac:dyDescent="0.25">
      <c r="A157" s="39" t="s">
        <v>167</v>
      </c>
      <c r="B157" s="13">
        <v>4800</v>
      </c>
      <c r="C157" s="13">
        <v>0</v>
      </c>
      <c r="D157" s="13">
        <v>0</v>
      </c>
      <c r="E157" s="13">
        <v>512</v>
      </c>
      <c r="G157" t="s">
        <v>167</v>
      </c>
      <c r="H157">
        <v>4800</v>
      </c>
      <c r="I157">
        <v>0</v>
      </c>
      <c r="J157">
        <v>0</v>
      </c>
      <c r="K157">
        <v>512</v>
      </c>
      <c r="L157" t="str">
        <f>VLOOKUP(G157,consolodiado!A:C,3,0)</f>
        <v>04</v>
      </c>
      <c r="M157" t="str">
        <f>VLOOKUP(G157,consolodiado!A:D,4,0)</f>
        <v>03</v>
      </c>
    </row>
    <row r="158" spans="1:13" x14ac:dyDescent="0.25">
      <c r="A158" s="39" t="s">
        <v>380</v>
      </c>
      <c r="B158" s="13">
        <v>862</v>
      </c>
      <c r="C158" s="13">
        <v>0</v>
      </c>
      <c r="D158" s="13">
        <v>0</v>
      </c>
      <c r="E158" s="13">
        <v>0</v>
      </c>
      <c r="G158" t="s">
        <v>380</v>
      </c>
      <c r="H158">
        <v>862</v>
      </c>
      <c r="I158">
        <v>0</v>
      </c>
      <c r="J158">
        <v>0</v>
      </c>
      <c r="K158">
        <v>0</v>
      </c>
      <c r="L158" t="str">
        <f>VLOOKUP(G158,consolodiado!A:C,3,0)</f>
        <v>04</v>
      </c>
      <c r="M158" t="str">
        <f>VLOOKUP(G158,consolodiado!A:D,4,0)</f>
        <v>85</v>
      </c>
    </row>
    <row r="159" spans="1:13" x14ac:dyDescent="0.25">
      <c r="A159" s="39" t="s">
        <v>131</v>
      </c>
      <c r="B159" s="13">
        <v>39178</v>
      </c>
      <c r="C159" s="13">
        <v>0</v>
      </c>
      <c r="D159" s="13">
        <v>0</v>
      </c>
      <c r="E159" s="13">
        <v>4180</v>
      </c>
      <c r="G159" t="s">
        <v>131</v>
      </c>
      <c r="H159">
        <v>39178</v>
      </c>
      <c r="I159">
        <v>0</v>
      </c>
      <c r="J159">
        <v>0</v>
      </c>
      <c r="K159">
        <v>4180</v>
      </c>
      <c r="L159" t="str">
        <f>VLOOKUP(G159,consolodiado!A:C,3,0)</f>
        <v>04</v>
      </c>
      <c r="M159" t="str">
        <f>VLOOKUP(G159,consolodiado!A:D,4,0)</f>
        <v>06</v>
      </c>
    </row>
    <row r="160" spans="1:13" x14ac:dyDescent="0.25">
      <c r="A160" s="39" t="s">
        <v>114</v>
      </c>
      <c r="B160" s="13">
        <v>0</v>
      </c>
      <c r="C160" s="13">
        <v>0</v>
      </c>
      <c r="D160" s="13">
        <v>467593</v>
      </c>
      <c r="E160" s="13">
        <v>0</v>
      </c>
      <c r="G160" t="s">
        <v>114</v>
      </c>
      <c r="H160">
        <v>0</v>
      </c>
      <c r="I160">
        <v>0</v>
      </c>
      <c r="J160">
        <v>467593</v>
      </c>
      <c r="K160">
        <v>0</v>
      </c>
      <c r="L160" t="str">
        <f>VLOOKUP(G160,consolodiado!A:C,3,0)</f>
        <v>04</v>
      </c>
      <c r="M160" t="str">
        <f>VLOOKUP(G160,consolodiado!A:D,4,0)</f>
        <v>03</v>
      </c>
    </row>
    <row r="161" spans="1:11" x14ac:dyDescent="0.25">
      <c r="A161" s="39" t="s">
        <v>391</v>
      </c>
    </row>
    <row r="162" spans="1:11" x14ac:dyDescent="0.25">
      <c r="A162" s="39" t="s">
        <v>392</v>
      </c>
      <c r="B162" s="13">
        <v>2925635</v>
      </c>
      <c r="C162" s="13">
        <v>12280286</v>
      </c>
      <c r="D162" s="13">
        <v>2454224</v>
      </c>
      <c r="E162" s="13">
        <v>95773</v>
      </c>
      <c r="G162" t="s">
        <v>392</v>
      </c>
      <c r="H162">
        <v>2925635</v>
      </c>
      <c r="I162">
        <v>12280286</v>
      </c>
      <c r="J162">
        <v>2454224</v>
      </c>
      <c r="K162">
        <v>95773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985FC-5466-4E3A-AE28-54D5C60A80F0}">
  <dimension ref="A1:L179"/>
  <sheetViews>
    <sheetView topLeftCell="A157" workbookViewId="0">
      <selection activeCell="H179" sqref="H179"/>
    </sheetView>
  </sheetViews>
  <sheetFormatPr baseColWidth="10" defaultRowHeight="15" x14ac:dyDescent="0.25"/>
  <cols>
    <col min="8" max="8" width="15.42578125" style="13" bestFit="1" customWidth="1"/>
    <col min="9" max="9" width="17.42578125" style="13" bestFit="1" customWidth="1"/>
    <col min="10" max="10" width="15.42578125" style="13" bestFit="1" customWidth="1"/>
    <col min="11" max="11" width="14.140625" style="13" bestFit="1" customWidth="1"/>
    <col min="12" max="12" width="5.140625" style="13" bestFit="1" customWidth="1"/>
  </cols>
  <sheetData>
    <row r="1" spans="1:12" ht="15.75" thickBot="1" x14ac:dyDescent="0.3">
      <c r="A1" s="14" t="s">
        <v>2</v>
      </c>
      <c r="B1" s="14" t="s">
        <v>389</v>
      </c>
      <c r="C1" s="14" t="s">
        <v>0</v>
      </c>
      <c r="D1" s="14" t="s">
        <v>1</v>
      </c>
      <c r="E1" s="14" t="s">
        <v>2</v>
      </c>
      <c r="F1" s="14" t="s">
        <v>80</v>
      </c>
      <c r="G1" s="14" t="s">
        <v>81</v>
      </c>
      <c r="H1" s="25" t="s">
        <v>82</v>
      </c>
      <c r="I1" s="25" t="s">
        <v>83</v>
      </c>
      <c r="J1" s="25" t="s">
        <v>84</v>
      </c>
      <c r="K1" s="25" t="s">
        <v>85</v>
      </c>
    </row>
    <row r="2" spans="1:12" ht="15.75" x14ac:dyDescent="0.25">
      <c r="A2" s="16" t="s">
        <v>257</v>
      </c>
      <c r="B2" s="15" t="s">
        <v>256</v>
      </c>
      <c r="C2" s="16" t="s">
        <v>55</v>
      </c>
      <c r="D2" s="16" t="s">
        <v>56</v>
      </c>
      <c r="E2" s="16" t="s">
        <v>257</v>
      </c>
      <c r="F2" s="16" t="s">
        <v>86</v>
      </c>
      <c r="G2" s="16" t="s">
        <v>87</v>
      </c>
      <c r="H2" s="26">
        <v>1277</v>
      </c>
      <c r="I2" s="26">
        <v>731</v>
      </c>
      <c r="J2" s="26">
        <v>0</v>
      </c>
      <c r="K2" s="26">
        <v>0</v>
      </c>
      <c r="L2" s="13">
        <f t="shared" ref="L2:L33" si="0">SUM(H2:K2)</f>
        <v>2008</v>
      </c>
    </row>
    <row r="3" spans="1:12" ht="15.75" x14ac:dyDescent="0.25">
      <c r="A3" s="16" t="s">
        <v>295</v>
      </c>
      <c r="B3" s="15" t="s">
        <v>294</v>
      </c>
      <c r="C3" s="16" t="s">
        <v>55</v>
      </c>
      <c r="D3" s="16" t="s">
        <v>56</v>
      </c>
      <c r="E3" s="16" t="s">
        <v>295</v>
      </c>
      <c r="F3" s="16" t="s">
        <v>86</v>
      </c>
      <c r="G3" s="16" t="s">
        <v>87</v>
      </c>
      <c r="H3" s="26">
        <v>5876</v>
      </c>
      <c r="I3" s="26">
        <v>0</v>
      </c>
      <c r="J3" s="26">
        <v>0</v>
      </c>
      <c r="K3" s="26">
        <v>0</v>
      </c>
      <c r="L3" s="13">
        <f t="shared" si="0"/>
        <v>5876</v>
      </c>
    </row>
    <row r="4" spans="1:12" ht="15.75" x14ac:dyDescent="0.25">
      <c r="A4" s="16" t="s">
        <v>105</v>
      </c>
      <c r="B4" s="15" t="s">
        <v>183</v>
      </c>
      <c r="C4" s="16" t="s">
        <v>55</v>
      </c>
      <c r="D4" s="16" t="s">
        <v>57</v>
      </c>
      <c r="E4" s="16" t="s">
        <v>105</v>
      </c>
      <c r="F4" s="16" t="s">
        <v>86</v>
      </c>
      <c r="G4" s="16" t="s">
        <v>87</v>
      </c>
      <c r="H4" s="26">
        <v>14400</v>
      </c>
      <c r="I4" s="26">
        <v>0</v>
      </c>
      <c r="J4" s="26">
        <v>0</v>
      </c>
      <c r="K4" s="26">
        <v>1536</v>
      </c>
      <c r="L4" s="13">
        <f t="shared" si="0"/>
        <v>15936</v>
      </c>
    </row>
    <row r="5" spans="1:12" ht="15.75" x14ac:dyDescent="0.25">
      <c r="A5" s="16" t="s">
        <v>106</v>
      </c>
      <c r="B5" s="15" t="s">
        <v>184</v>
      </c>
      <c r="C5" s="16" t="s">
        <v>55</v>
      </c>
      <c r="D5" s="16" t="s">
        <v>56</v>
      </c>
      <c r="E5" s="16" t="s">
        <v>106</v>
      </c>
      <c r="F5" s="16" t="s">
        <v>86</v>
      </c>
      <c r="G5" s="16" t="s">
        <v>87</v>
      </c>
      <c r="H5" s="26">
        <v>33463</v>
      </c>
      <c r="I5" s="26">
        <v>0</v>
      </c>
      <c r="J5" s="26">
        <v>0</v>
      </c>
      <c r="K5" s="26">
        <v>0</v>
      </c>
      <c r="L5" s="13">
        <f t="shared" si="0"/>
        <v>33463</v>
      </c>
    </row>
    <row r="6" spans="1:12" ht="15.75" x14ac:dyDescent="0.25">
      <c r="A6" s="16" t="s">
        <v>329</v>
      </c>
      <c r="B6" s="15" t="s">
        <v>328</v>
      </c>
      <c r="C6" s="16" t="s">
        <v>55</v>
      </c>
      <c r="D6" s="16" t="s">
        <v>56</v>
      </c>
      <c r="E6" s="16" t="s">
        <v>329</v>
      </c>
      <c r="F6" s="16" t="s">
        <v>86</v>
      </c>
      <c r="G6" s="16" t="s">
        <v>87</v>
      </c>
      <c r="H6" s="26">
        <v>1054</v>
      </c>
      <c r="I6" s="26">
        <v>0</v>
      </c>
      <c r="J6" s="26">
        <v>0</v>
      </c>
      <c r="K6" s="26">
        <v>0</v>
      </c>
      <c r="L6" s="13">
        <f t="shared" si="0"/>
        <v>1054</v>
      </c>
    </row>
    <row r="7" spans="1:12" ht="15.75" x14ac:dyDescent="0.25">
      <c r="A7" s="16" t="s">
        <v>175</v>
      </c>
      <c r="B7" s="15" t="s">
        <v>185</v>
      </c>
      <c r="C7" s="16" t="s">
        <v>55</v>
      </c>
      <c r="D7" s="16" t="s">
        <v>58</v>
      </c>
      <c r="E7" s="16" t="s">
        <v>175</v>
      </c>
      <c r="F7" s="16" t="s">
        <v>86</v>
      </c>
      <c r="G7" s="16" t="s">
        <v>87</v>
      </c>
      <c r="H7" s="26">
        <v>0</v>
      </c>
      <c r="I7" s="26">
        <v>0</v>
      </c>
      <c r="J7" s="26">
        <v>0</v>
      </c>
      <c r="K7" s="26">
        <v>3342</v>
      </c>
      <c r="L7" s="13">
        <f t="shared" si="0"/>
        <v>3342</v>
      </c>
    </row>
    <row r="8" spans="1:12" ht="15.75" x14ac:dyDescent="0.25">
      <c r="A8" s="16" t="s">
        <v>275</v>
      </c>
      <c r="B8" s="15" t="s">
        <v>274</v>
      </c>
      <c r="C8" s="16" t="s">
        <v>55</v>
      </c>
      <c r="D8" s="16" t="s">
        <v>56</v>
      </c>
      <c r="E8" s="16" t="s">
        <v>275</v>
      </c>
      <c r="F8" s="16" t="s">
        <v>86</v>
      </c>
      <c r="G8" s="16" t="s">
        <v>87</v>
      </c>
      <c r="H8" s="26">
        <v>0</v>
      </c>
      <c r="I8" s="26">
        <v>24634</v>
      </c>
      <c r="J8" s="26">
        <v>0</v>
      </c>
      <c r="K8" s="26">
        <v>0</v>
      </c>
      <c r="L8" s="13">
        <f t="shared" si="0"/>
        <v>24634</v>
      </c>
    </row>
    <row r="9" spans="1:12" ht="15.75" x14ac:dyDescent="0.25">
      <c r="A9" s="16" t="s">
        <v>297</v>
      </c>
      <c r="B9" s="15" t="s">
        <v>296</v>
      </c>
      <c r="C9" s="16" t="s">
        <v>55</v>
      </c>
      <c r="D9" s="16" t="s">
        <v>57</v>
      </c>
      <c r="E9" s="16" t="s">
        <v>297</v>
      </c>
      <c r="F9" s="16" t="s">
        <v>86</v>
      </c>
      <c r="G9" s="16" t="s">
        <v>87</v>
      </c>
      <c r="H9" s="26">
        <v>0</v>
      </c>
      <c r="I9" s="26">
        <v>0</v>
      </c>
      <c r="J9" s="26">
        <v>762</v>
      </c>
      <c r="K9" s="26">
        <v>0</v>
      </c>
      <c r="L9" s="13">
        <f t="shared" si="0"/>
        <v>762</v>
      </c>
    </row>
    <row r="10" spans="1:12" ht="15.75" x14ac:dyDescent="0.25">
      <c r="A10" s="16" t="s">
        <v>331</v>
      </c>
      <c r="B10" s="15" t="s">
        <v>330</v>
      </c>
      <c r="C10" s="16" t="s">
        <v>55</v>
      </c>
      <c r="D10" s="16" t="s">
        <v>56</v>
      </c>
      <c r="E10" s="16" t="s">
        <v>331</v>
      </c>
      <c r="F10" s="16" t="s">
        <v>86</v>
      </c>
      <c r="G10" s="16" t="s">
        <v>87</v>
      </c>
      <c r="H10" s="26">
        <v>2504</v>
      </c>
      <c r="I10" s="26">
        <v>0</v>
      </c>
      <c r="J10" s="26">
        <v>0</v>
      </c>
      <c r="K10" s="26">
        <v>0</v>
      </c>
      <c r="L10" s="13">
        <f t="shared" si="0"/>
        <v>2504</v>
      </c>
    </row>
    <row r="11" spans="1:12" ht="15.75" x14ac:dyDescent="0.25">
      <c r="A11" s="16" t="s">
        <v>299</v>
      </c>
      <c r="B11" s="15" t="s">
        <v>298</v>
      </c>
      <c r="C11" s="16" t="s">
        <v>55</v>
      </c>
      <c r="D11" s="16" t="s">
        <v>57</v>
      </c>
      <c r="E11" s="16" t="s">
        <v>299</v>
      </c>
      <c r="F11" s="16" t="s">
        <v>86</v>
      </c>
      <c r="G11" s="16" t="s">
        <v>87</v>
      </c>
      <c r="H11" s="26">
        <v>0</v>
      </c>
      <c r="I11" s="26">
        <v>0</v>
      </c>
      <c r="J11" s="26">
        <v>280000</v>
      </c>
      <c r="K11" s="26">
        <v>0</v>
      </c>
      <c r="L11" s="13">
        <f t="shared" si="0"/>
        <v>280000</v>
      </c>
    </row>
    <row r="12" spans="1:12" ht="15.75" x14ac:dyDescent="0.25">
      <c r="A12" s="16" t="s">
        <v>333</v>
      </c>
      <c r="B12" s="15" t="s">
        <v>332</v>
      </c>
      <c r="C12" s="16" t="s">
        <v>55</v>
      </c>
      <c r="D12" s="16" t="s">
        <v>56</v>
      </c>
      <c r="E12" s="16" t="s">
        <v>333</v>
      </c>
      <c r="F12" s="16" t="s">
        <v>86</v>
      </c>
      <c r="G12" s="16" t="s">
        <v>87</v>
      </c>
      <c r="H12" s="26">
        <v>8970</v>
      </c>
      <c r="I12" s="26">
        <v>0</v>
      </c>
      <c r="J12" s="26">
        <v>0</v>
      </c>
      <c r="K12" s="26">
        <v>0</v>
      </c>
      <c r="L12" s="13">
        <f t="shared" si="0"/>
        <v>8970</v>
      </c>
    </row>
    <row r="13" spans="1:12" ht="15.75" x14ac:dyDescent="0.25">
      <c r="A13" s="16" t="s">
        <v>169</v>
      </c>
      <c r="B13" s="15" t="s">
        <v>186</v>
      </c>
      <c r="C13" s="16" t="s">
        <v>55</v>
      </c>
      <c r="D13" s="16" t="s">
        <v>56</v>
      </c>
      <c r="E13" s="16" t="s">
        <v>169</v>
      </c>
      <c r="F13" s="16" t="s">
        <v>86</v>
      </c>
      <c r="G13" s="16" t="s">
        <v>87</v>
      </c>
      <c r="H13" s="26">
        <v>14850</v>
      </c>
      <c r="I13" s="26">
        <v>0</v>
      </c>
      <c r="J13" s="26">
        <v>0</v>
      </c>
      <c r="K13" s="26">
        <v>0</v>
      </c>
      <c r="L13" s="13">
        <f t="shared" si="0"/>
        <v>14850</v>
      </c>
    </row>
    <row r="14" spans="1:12" ht="15.75" x14ac:dyDescent="0.25">
      <c r="A14" s="16" t="s">
        <v>107</v>
      </c>
      <c r="B14" s="15" t="s">
        <v>187</v>
      </c>
      <c r="C14" s="16" t="s">
        <v>55</v>
      </c>
      <c r="D14" s="16" t="s">
        <v>56</v>
      </c>
      <c r="E14" s="16" t="s">
        <v>107</v>
      </c>
      <c r="F14" s="16" t="s">
        <v>86</v>
      </c>
      <c r="G14" s="16" t="s">
        <v>87</v>
      </c>
      <c r="H14" s="26">
        <v>55541</v>
      </c>
      <c r="I14" s="26">
        <v>0</v>
      </c>
      <c r="J14" s="26">
        <v>0</v>
      </c>
      <c r="K14" s="26">
        <v>0</v>
      </c>
      <c r="L14" s="13">
        <f t="shared" si="0"/>
        <v>55541</v>
      </c>
    </row>
    <row r="15" spans="1:12" ht="15.75" x14ac:dyDescent="0.25">
      <c r="A15" s="16" t="s">
        <v>335</v>
      </c>
      <c r="B15" s="15" t="s">
        <v>334</v>
      </c>
      <c r="C15" s="16" t="s">
        <v>55</v>
      </c>
      <c r="D15" s="16" t="s">
        <v>56</v>
      </c>
      <c r="E15" s="16" t="s">
        <v>335</v>
      </c>
      <c r="F15" s="16" t="s">
        <v>86</v>
      </c>
      <c r="G15" s="16" t="s">
        <v>87</v>
      </c>
      <c r="H15" s="26">
        <v>88806</v>
      </c>
      <c r="I15" s="26">
        <v>0</v>
      </c>
      <c r="J15" s="26">
        <v>0</v>
      </c>
      <c r="K15" s="26">
        <v>0</v>
      </c>
      <c r="L15" s="13">
        <f t="shared" si="0"/>
        <v>88806</v>
      </c>
    </row>
    <row r="16" spans="1:12" ht="15.75" x14ac:dyDescent="0.25">
      <c r="A16" s="16" t="s">
        <v>337</v>
      </c>
      <c r="B16" s="15" t="s">
        <v>336</v>
      </c>
      <c r="C16" s="16" t="s">
        <v>55</v>
      </c>
      <c r="D16" s="16" t="s">
        <v>56</v>
      </c>
      <c r="E16" s="16" t="s">
        <v>337</v>
      </c>
      <c r="F16" s="16" t="s">
        <v>86</v>
      </c>
      <c r="G16" s="16" t="s">
        <v>87</v>
      </c>
      <c r="H16" s="26">
        <v>3502</v>
      </c>
      <c r="I16" s="26">
        <v>0</v>
      </c>
      <c r="J16" s="26">
        <v>0</v>
      </c>
      <c r="K16" s="26">
        <v>0</v>
      </c>
      <c r="L16" s="13">
        <f t="shared" si="0"/>
        <v>3502</v>
      </c>
    </row>
    <row r="17" spans="1:12" ht="15.75" x14ac:dyDescent="0.25">
      <c r="A17" s="16" t="s">
        <v>173</v>
      </c>
      <c r="B17" s="15" t="s">
        <v>188</v>
      </c>
      <c r="C17" s="16" t="s">
        <v>55</v>
      </c>
      <c r="D17" s="16" t="s">
        <v>56</v>
      </c>
      <c r="E17" s="16" t="s">
        <v>173</v>
      </c>
      <c r="F17" s="16" t="s">
        <v>86</v>
      </c>
      <c r="G17" s="16" t="s">
        <v>87</v>
      </c>
      <c r="H17" s="26">
        <v>472</v>
      </c>
      <c r="I17" s="26">
        <v>0</v>
      </c>
      <c r="J17" s="26">
        <v>0</v>
      </c>
      <c r="K17" s="26">
        <v>0</v>
      </c>
      <c r="L17" s="13">
        <f t="shared" si="0"/>
        <v>472</v>
      </c>
    </row>
    <row r="18" spans="1:12" ht="15.75" x14ac:dyDescent="0.25">
      <c r="A18" s="16" t="s">
        <v>108</v>
      </c>
      <c r="B18" s="15" t="s">
        <v>189</v>
      </c>
      <c r="C18" s="16" t="s">
        <v>55</v>
      </c>
      <c r="D18" s="16" t="s">
        <v>56</v>
      </c>
      <c r="E18" s="16" t="s">
        <v>108</v>
      </c>
      <c r="F18" s="16" t="s">
        <v>86</v>
      </c>
      <c r="G18" s="16" t="s">
        <v>87</v>
      </c>
      <c r="H18" s="26">
        <v>5110</v>
      </c>
      <c r="I18" s="26">
        <v>0</v>
      </c>
      <c r="J18" s="26">
        <v>0</v>
      </c>
      <c r="K18" s="26">
        <v>0</v>
      </c>
      <c r="L18" s="13">
        <f t="shared" si="0"/>
        <v>5110</v>
      </c>
    </row>
    <row r="19" spans="1:12" ht="15.75" x14ac:dyDescent="0.25">
      <c r="A19" s="16" t="s">
        <v>109</v>
      </c>
      <c r="B19" s="15" t="s">
        <v>190</v>
      </c>
      <c r="C19" s="16" t="s">
        <v>55</v>
      </c>
      <c r="D19" s="16" t="s">
        <v>56</v>
      </c>
      <c r="E19" s="16" t="s">
        <v>109</v>
      </c>
      <c r="F19" s="16" t="s">
        <v>86</v>
      </c>
      <c r="G19" s="16" t="s">
        <v>87</v>
      </c>
      <c r="H19" s="26">
        <v>6608</v>
      </c>
      <c r="I19" s="26">
        <v>0</v>
      </c>
      <c r="J19" s="26">
        <v>0</v>
      </c>
      <c r="K19" s="26">
        <v>0</v>
      </c>
      <c r="L19" s="13">
        <f t="shared" si="0"/>
        <v>6608</v>
      </c>
    </row>
    <row r="20" spans="1:12" ht="15.75" x14ac:dyDescent="0.25">
      <c r="A20" s="16" t="s">
        <v>339</v>
      </c>
      <c r="B20" s="15" t="s">
        <v>338</v>
      </c>
      <c r="C20" s="16" t="s">
        <v>55</v>
      </c>
      <c r="D20" s="16" t="s">
        <v>56</v>
      </c>
      <c r="E20" s="16" t="s">
        <v>339</v>
      </c>
      <c r="F20" s="16" t="s">
        <v>86</v>
      </c>
      <c r="G20" s="16" t="s">
        <v>87</v>
      </c>
      <c r="H20" s="26">
        <v>38935</v>
      </c>
      <c r="I20" s="26">
        <v>0</v>
      </c>
      <c r="J20" s="26">
        <v>0</v>
      </c>
      <c r="K20" s="26">
        <v>0</v>
      </c>
      <c r="L20" s="13">
        <f t="shared" si="0"/>
        <v>38935</v>
      </c>
    </row>
    <row r="21" spans="1:12" ht="15.75" x14ac:dyDescent="0.25">
      <c r="A21" s="16" t="s">
        <v>111</v>
      </c>
      <c r="B21" s="15" t="s">
        <v>110</v>
      </c>
      <c r="C21" s="16" t="s">
        <v>55</v>
      </c>
      <c r="D21" s="16" t="s">
        <v>56</v>
      </c>
      <c r="E21" s="16" t="s">
        <v>111</v>
      </c>
      <c r="F21" s="16" t="s">
        <v>86</v>
      </c>
      <c r="G21" s="16" t="s">
        <v>87</v>
      </c>
      <c r="H21" s="26">
        <v>6998</v>
      </c>
      <c r="I21" s="26">
        <v>0</v>
      </c>
      <c r="J21" s="26">
        <v>0</v>
      </c>
      <c r="K21" s="26">
        <v>0</v>
      </c>
      <c r="L21" s="13">
        <f t="shared" si="0"/>
        <v>6998</v>
      </c>
    </row>
    <row r="22" spans="1:12" ht="15.75" x14ac:dyDescent="0.25">
      <c r="A22" s="16" t="s">
        <v>112</v>
      </c>
      <c r="B22" s="15" t="s">
        <v>191</v>
      </c>
      <c r="C22" s="16" t="s">
        <v>55</v>
      </c>
      <c r="D22" s="16" t="s">
        <v>58</v>
      </c>
      <c r="E22" s="16" t="s">
        <v>112</v>
      </c>
      <c r="F22" s="16" t="s">
        <v>86</v>
      </c>
      <c r="G22" s="16" t="s">
        <v>87</v>
      </c>
      <c r="H22" s="26">
        <v>50609</v>
      </c>
      <c r="I22" s="26">
        <v>0</v>
      </c>
      <c r="J22" s="26">
        <v>0</v>
      </c>
      <c r="K22" s="26">
        <v>5398</v>
      </c>
      <c r="L22" s="13">
        <f t="shared" si="0"/>
        <v>56007</v>
      </c>
    </row>
    <row r="23" spans="1:12" ht="15.75" x14ac:dyDescent="0.25">
      <c r="A23" s="16" t="s">
        <v>113</v>
      </c>
      <c r="B23" s="15" t="s">
        <v>192</v>
      </c>
      <c r="C23" s="16" t="s">
        <v>55</v>
      </c>
      <c r="D23" s="16" t="s">
        <v>56</v>
      </c>
      <c r="E23" s="16" t="s">
        <v>113</v>
      </c>
      <c r="F23" s="16" t="s">
        <v>86</v>
      </c>
      <c r="G23" s="16" t="s">
        <v>87</v>
      </c>
      <c r="H23" s="26">
        <v>24935</v>
      </c>
      <c r="I23" s="26">
        <v>0</v>
      </c>
      <c r="J23" s="26">
        <v>0</v>
      </c>
      <c r="K23" s="26">
        <v>0</v>
      </c>
      <c r="L23" s="13">
        <f t="shared" si="0"/>
        <v>24935</v>
      </c>
    </row>
    <row r="24" spans="1:12" ht="15.75" x14ac:dyDescent="0.25">
      <c r="A24" s="16" t="s">
        <v>60</v>
      </c>
      <c r="B24" s="15" t="s">
        <v>89</v>
      </c>
      <c r="C24" s="16" t="s">
        <v>55</v>
      </c>
      <c r="D24" s="16" t="s">
        <v>56</v>
      </c>
      <c r="E24" s="16" t="s">
        <v>60</v>
      </c>
      <c r="F24" s="16" t="s">
        <v>86</v>
      </c>
      <c r="G24" s="16" t="s">
        <v>87</v>
      </c>
      <c r="H24" s="26">
        <v>30718</v>
      </c>
      <c r="I24" s="26">
        <v>0</v>
      </c>
      <c r="J24" s="26">
        <v>0</v>
      </c>
      <c r="K24" s="26">
        <v>0</v>
      </c>
      <c r="L24" s="13">
        <f t="shared" si="0"/>
        <v>30718</v>
      </c>
    </row>
    <row r="25" spans="1:12" ht="15.75" x14ac:dyDescent="0.25">
      <c r="A25" s="16" t="s">
        <v>163</v>
      </c>
      <c r="B25" s="15" t="s">
        <v>193</v>
      </c>
      <c r="C25" s="16" t="s">
        <v>55</v>
      </c>
      <c r="D25" s="16" t="s">
        <v>56</v>
      </c>
      <c r="E25" s="16" t="s">
        <v>163</v>
      </c>
      <c r="F25" s="16" t="s">
        <v>86</v>
      </c>
      <c r="G25" s="16" t="s">
        <v>87</v>
      </c>
      <c r="H25" s="26">
        <v>8620</v>
      </c>
      <c r="I25" s="26">
        <v>0</v>
      </c>
      <c r="J25" s="26">
        <v>0</v>
      </c>
      <c r="K25" s="26">
        <v>0</v>
      </c>
      <c r="L25" s="13">
        <f t="shared" si="0"/>
        <v>8620</v>
      </c>
    </row>
    <row r="26" spans="1:12" ht="15.75" x14ac:dyDescent="0.25">
      <c r="A26" s="16" t="s">
        <v>61</v>
      </c>
      <c r="B26" s="15" t="s">
        <v>90</v>
      </c>
      <c r="C26" s="16" t="s">
        <v>55</v>
      </c>
      <c r="D26" s="16" t="s">
        <v>56</v>
      </c>
      <c r="E26" s="16" t="s">
        <v>61</v>
      </c>
      <c r="F26" s="16" t="s">
        <v>86</v>
      </c>
      <c r="G26" s="16" t="s">
        <v>87</v>
      </c>
      <c r="H26" s="26">
        <v>3296</v>
      </c>
      <c r="I26" s="26">
        <v>22189</v>
      </c>
      <c r="J26" s="26">
        <v>0</v>
      </c>
      <c r="K26" s="26">
        <v>0</v>
      </c>
      <c r="L26" s="13">
        <f t="shared" si="0"/>
        <v>25485</v>
      </c>
    </row>
    <row r="27" spans="1:12" ht="15.75" x14ac:dyDescent="0.25">
      <c r="A27" s="16" t="s">
        <v>341</v>
      </c>
      <c r="B27" s="15" t="s">
        <v>340</v>
      </c>
      <c r="C27" s="16" t="s">
        <v>55</v>
      </c>
      <c r="D27" s="16" t="s">
        <v>56</v>
      </c>
      <c r="E27" s="16" t="s">
        <v>341</v>
      </c>
      <c r="F27" s="16" t="s">
        <v>86</v>
      </c>
      <c r="G27" s="16" t="s">
        <v>87</v>
      </c>
      <c r="H27" s="26">
        <v>4600</v>
      </c>
      <c r="I27" s="26">
        <v>0</v>
      </c>
      <c r="J27" s="26">
        <v>0</v>
      </c>
      <c r="K27" s="26">
        <v>0</v>
      </c>
      <c r="L27" s="13">
        <f t="shared" si="0"/>
        <v>4600</v>
      </c>
    </row>
    <row r="28" spans="1:12" ht="15.75" x14ac:dyDescent="0.25">
      <c r="A28" s="16" t="s">
        <v>114</v>
      </c>
      <c r="B28" s="15" t="s">
        <v>194</v>
      </c>
      <c r="C28" s="16" t="s">
        <v>55</v>
      </c>
      <c r="D28" s="16" t="s">
        <v>57</v>
      </c>
      <c r="E28" s="16" t="s">
        <v>114</v>
      </c>
      <c r="F28" s="16" t="s">
        <v>86</v>
      </c>
      <c r="G28" s="16" t="s">
        <v>87</v>
      </c>
      <c r="H28" s="26">
        <v>0</v>
      </c>
      <c r="I28" s="26">
        <v>0</v>
      </c>
      <c r="J28" s="26">
        <v>467593</v>
      </c>
      <c r="K28" s="26">
        <v>0</v>
      </c>
      <c r="L28" s="13">
        <f t="shared" si="0"/>
        <v>467593</v>
      </c>
    </row>
    <row r="29" spans="1:12" ht="15.75" x14ac:dyDescent="0.25">
      <c r="A29" s="16" t="s">
        <v>115</v>
      </c>
      <c r="B29" s="15" t="s">
        <v>195</v>
      </c>
      <c r="C29" s="16" t="s">
        <v>55</v>
      </c>
      <c r="D29" s="16" t="s">
        <v>57</v>
      </c>
      <c r="E29" s="16" t="s">
        <v>115</v>
      </c>
      <c r="F29" s="16" t="s">
        <v>86</v>
      </c>
      <c r="G29" s="16" t="s">
        <v>87</v>
      </c>
      <c r="H29" s="26">
        <v>0</v>
      </c>
      <c r="I29" s="26">
        <v>0</v>
      </c>
      <c r="J29" s="26">
        <v>58941</v>
      </c>
      <c r="K29" s="26">
        <v>0</v>
      </c>
      <c r="L29" s="13">
        <f t="shared" si="0"/>
        <v>58941</v>
      </c>
    </row>
    <row r="30" spans="1:12" ht="15.75" x14ac:dyDescent="0.25">
      <c r="A30" s="16" t="s">
        <v>343</v>
      </c>
      <c r="B30" s="15" t="s">
        <v>342</v>
      </c>
      <c r="C30" s="16" t="s">
        <v>55</v>
      </c>
      <c r="D30" s="16" t="s">
        <v>56</v>
      </c>
      <c r="E30" s="16" t="s">
        <v>343</v>
      </c>
      <c r="F30" s="16" t="s">
        <v>86</v>
      </c>
      <c r="G30" s="16" t="s">
        <v>87</v>
      </c>
      <c r="H30" s="26">
        <v>2700</v>
      </c>
      <c r="I30" s="26">
        <v>0</v>
      </c>
      <c r="J30" s="26">
        <v>0</v>
      </c>
      <c r="K30" s="26">
        <v>0</v>
      </c>
      <c r="L30" s="13">
        <f t="shared" si="0"/>
        <v>2700</v>
      </c>
    </row>
    <row r="31" spans="1:12" ht="15.75" x14ac:dyDescent="0.25">
      <c r="A31" s="16" t="s">
        <v>345</v>
      </c>
      <c r="B31" s="15" t="s">
        <v>344</v>
      </c>
      <c r="C31" s="16" t="s">
        <v>55</v>
      </c>
      <c r="D31" s="16" t="s">
        <v>56</v>
      </c>
      <c r="E31" s="16" t="s">
        <v>345</v>
      </c>
      <c r="F31" s="16" t="s">
        <v>86</v>
      </c>
      <c r="G31" s="16" t="s">
        <v>87</v>
      </c>
      <c r="H31" s="26">
        <v>210548</v>
      </c>
      <c r="I31" s="26">
        <v>0</v>
      </c>
      <c r="J31" s="26">
        <v>0</v>
      </c>
      <c r="K31" s="26">
        <v>0</v>
      </c>
      <c r="L31" s="13">
        <f t="shared" si="0"/>
        <v>210548</v>
      </c>
    </row>
    <row r="32" spans="1:12" ht="15.75" x14ac:dyDescent="0.25">
      <c r="A32" s="16" t="s">
        <v>261</v>
      </c>
      <c r="B32" s="15" t="s">
        <v>260</v>
      </c>
      <c r="C32" s="16" t="s">
        <v>55</v>
      </c>
      <c r="D32" s="16" t="s">
        <v>56</v>
      </c>
      <c r="E32" s="16" t="s">
        <v>261</v>
      </c>
      <c r="F32" s="16" t="s">
        <v>86</v>
      </c>
      <c r="G32" s="16" t="s">
        <v>87</v>
      </c>
      <c r="H32" s="26">
        <v>0</v>
      </c>
      <c r="I32" s="26">
        <v>130</v>
      </c>
      <c r="J32" s="26">
        <v>0</v>
      </c>
      <c r="K32" s="26">
        <v>0</v>
      </c>
      <c r="L32" s="13">
        <f t="shared" si="0"/>
        <v>130</v>
      </c>
    </row>
    <row r="33" spans="1:12" ht="15.75" x14ac:dyDescent="0.25">
      <c r="A33" s="16" t="s">
        <v>347</v>
      </c>
      <c r="B33" s="15" t="s">
        <v>346</v>
      </c>
      <c r="C33" s="16" t="s">
        <v>55</v>
      </c>
      <c r="D33" s="16" t="s">
        <v>56</v>
      </c>
      <c r="E33" s="16" t="s">
        <v>347</v>
      </c>
      <c r="F33" s="16" t="s">
        <v>86</v>
      </c>
      <c r="G33" s="16" t="s">
        <v>87</v>
      </c>
      <c r="H33" s="26">
        <v>28736</v>
      </c>
      <c r="I33" s="26">
        <v>0</v>
      </c>
      <c r="J33" s="26">
        <v>0</v>
      </c>
      <c r="K33" s="26">
        <v>0</v>
      </c>
      <c r="L33" s="13">
        <f t="shared" si="0"/>
        <v>28736</v>
      </c>
    </row>
    <row r="34" spans="1:12" ht="15.75" x14ac:dyDescent="0.25">
      <c r="A34" s="16" t="s">
        <v>116</v>
      </c>
      <c r="B34" s="15" t="s">
        <v>196</v>
      </c>
      <c r="C34" s="16" t="s">
        <v>55</v>
      </c>
      <c r="D34" s="16" t="s">
        <v>56</v>
      </c>
      <c r="E34" s="16" t="s">
        <v>116</v>
      </c>
      <c r="F34" s="16" t="s">
        <v>86</v>
      </c>
      <c r="G34" s="16" t="s">
        <v>87</v>
      </c>
      <c r="H34" s="26">
        <v>0</v>
      </c>
      <c r="I34" s="26">
        <v>285376</v>
      </c>
      <c r="J34" s="26">
        <v>0</v>
      </c>
      <c r="K34" s="26">
        <v>0</v>
      </c>
      <c r="L34" s="13">
        <f t="shared" ref="L34:L65" si="1">SUM(H34:K34)</f>
        <v>285376</v>
      </c>
    </row>
    <row r="35" spans="1:12" ht="15.75" x14ac:dyDescent="0.25">
      <c r="A35" s="16" t="s">
        <v>349</v>
      </c>
      <c r="B35" s="15" t="s">
        <v>348</v>
      </c>
      <c r="C35" s="16" t="s">
        <v>55</v>
      </c>
      <c r="D35" s="16" t="s">
        <v>56</v>
      </c>
      <c r="E35" s="16" t="s">
        <v>349</v>
      </c>
      <c r="F35" s="16" t="s">
        <v>86</v>
      </c>
      <c r="G35" s="16" t="s">
        <v>87</v>
      </c>
      <c r="H35" s="26">
        <v>22950</v>
      </c>
      <c r="I35" s="26">
        <v>0</v>
      </c>
      <c r="J35" s="26">
        <v>0</v>
      </c>
      <c r="K35" s="26">
        <v>0</v>
      </c>
      <c r="L35" s="13">
        <f t="shared" si="1"/>
        <v>22950</v>
      </c>
    </row>
    <row r="36" spans="1:12" ht="15.75" x14ac:dyDescent="0.25">
      <c r="A36" s="16" t="s">
        <v>351</v>
      </c>
      <c r="B36" s="15" t="s">
        <v>350</v>
      </c>
      <c r="C36" s="16" t="s">
        <v>55</v>
      </c>
      <c r="D36" s="16" t="s">
        <v>56</v>
      </c>
      <c r="E36" s="16" t="s">
        <v>351</v>
      </c>
      <c r="F36" s="16" t="s">
        <v>86</v>
      </c>
      <c r="G36" s="16" t="s">
        <v>87</v>
      </c>
      <c r="H36" s="26">
        <v>0</v>
      </c>
      <c r="I36" s="26">
        <v>403</v>
      </c>
      <c r="J36" s="26">
        <v>0</v>
      </c>
      <c r="K36" s="26">
        <v>0</v>
      </c>
      <c r="L36" s="13">
        <f t="shared" si="1"/>
        <v>403</v>
      </c>
    </row>
    <row r="37" spans="1:12" ht="15.75" x14ac:dyDescent="0.25">
      <c r="A37" s="16" t="s">
        <v>171</v>
      </c>
      <c r="B37" s="15" t="s">
        <v>170</v>
      </c>
      <c r="C37" s="16" t="s">
        <v>55</v>
      </c>
      <c r="D37" s="16" t="s">
        <v>56</v>
      </c>
      <c r="E37" s="16" t="s">
        <v>171</v>
      </c>
      <c r="F37" s="16" t="s">
        <v>86</v>
      </c>
      <c r="G37" s="16" t="s">
        <v>87</v>
      </c>
      <c r="H37" s="26">
        <v>18760</v>
      </c>
      <c r="I37" s="26">
        <v>0</v>
      </c>
      <c r="J37" s="26">
        <v>0</v>
      </c>
      <c r="K37" s="26">
        <v>0</v>
      </c>
      <c r="L37" s="13">
        <f t="shared" si="1"/>
        <v>18760</v>
      </c>
    </row>
    <row r="38" spans="1:12" ht="15.75" x14ac:dyDescent="0.25">
      <c r="A38" s="16" t="s">
        <v>62</v>
      </c>
      <c r="B38" s="15" t="s">
        <v>197</v>
      </c>
      <c r="C38" s="16" t="s">
        <v>55</v>
      </c>
      <c r="D38" s="16" t="s">
        <v>56</v>
      </c>
      <c r="E38" s="16" t="s">
        <v>62</v>
      </c>
      <c r="F38" s="16" t="s">
        <v>86</v>
      </c>
      <c r="G38" s="16" t="s">
        <v>87</v>
      </c>
      <c r="H38" s="26">
        <v>102362</v>
      </c>
      <c r="I38" s="26">
        <v>0</v>
      </c>
      <c r="J38" s="26">
        <v>0</v>
      </c>
      <c r="K38" s="26">
        <v>0</v>
      </c>
      <c r="L38" s="13">
        <f t="shared" si="1"/>
        <v>102362</v>
      </c>
    </row>
    <row r="39" spans="1:12" ht="15.75" x14ac:dyDescent="0.25">
      <c r="A39" s="16" t="s">
        <v>300</v>
      </c>
      <c r="B39" s="15" t="s">
        <v>352</v>
      </c>
      <c r="C39" s="16" t="s">
        <v>55</v>
      </c>
      <c r="D39" s="16" t="s">
        <v>56</v>
      </c>
      <c r="E39" s="16" t="s">
        <v>300</v>
      </c>
      <c r="F39" s="16" t="s">
        <v>86</v>
      </c>
      <c r="G39" s="16" t="s">
        <v>87</v>
      </c>
      <c r="H39" s="26">
        <v>1738</v>
      </c>
      <c r="I39" s="26">
        <v>4</v>
      </c>
      <c r="J39" s="26">
        <v>0</v>
      </c>
      <c r="K39" s="26">
        <v>0</v>
      </c>
      <c r="L39" s="13">
        <f t="shared" si="1"/>
        <v>1742</v>
      </c>
    </row>
    <row r="40" spans="1:12" ht="15.75" x14ac:dyDescent="0.25">
      <c r="A40" s="16" t="s">
        <v>117</v>
      </c>
      <c r="B40" s="15" t="s">
        <v>198</v>
      </c>
      <c r="C40" s="16" t="s">
        <v>55</v>
      </c>
      <c r="D40" s="16" t="s">
        <v>57</v>
      </c>
      <c r="E40" s="16" t="s">
        <v>117</v>
      </c>
      <c r="F40" s="16" t="s">
        <v>86</v>
      </c>
      <c r="G40" s="16" t="s">
        <v>87</v>
      </c>
      <c r="H40" s="26">
        <v>0</v>
      </c>
      <c r="I40" s="26">
        <v>0</v>
      </c>
      <c r="J40" s="26">
        <v>150783</v>
      </c>
      <c r="K40" s="26">
        <v>0</v>
      </c>
      <c r="L40" s="13">
        <f t="shared" si="1"/>
        <v>150783</v>
      </c>
    </row>
    <row r="41" spans="1:12" ht="15.75" x14ac:dyDescent="0.25">
      <c r="A41" s="16" t="s">
        <v>354</v>
      </c>
      <c r="B41" s="15" t="s">
        <v>353</v>
      </c>
      <c r="C41" s="16" t="s">
        <v>55</v>
      </c>
      <c r="D41" s="16" t="s">
        <v>56</v>
      </c>
      <c r="E41" s="16" t="s">
        <v>354</v>
      </c>
      <c r="F41" s="16" t="s">
        <v>86</v>
      </c>
      <c r="G41" s="16" t="s">
        <v>87</v>
      </c>
      <c r="H41" s="26">
        <v>60000</v>
      </c>
      <c r="I41" s="26">
        <v>0</v>
      </c>
      <c r="J41" s="26">
        <v>0</v>
      </c>
      <c r="K41" s="26">
        <v>0</v>
      </c>
      <c r="L41" s="13">
        <f t="shared" si="1"/>
        <v>60000</v>
      </c>
    </row>
    <row r="42" spans="1:12" ht="15.75" x14ac:dyDescent="0.25">
      <c r="A42" s="16" t="s">
        <v>119</v>
      </c>
      <c r="B42" s="15" t="s">
        <v>118</v>
      </c>
      <c r="C42" s="16" t="s">
        <v>55</v>
      </c>
      <c r="D42" s="16" t="s">
        <v>56</v>
      </c>
      <c r="E42" s="16" t="s">
        <v>119</v>
      </c>
      <c r="F42" s="16" t="s">
        <v>86</v>
      </c>
      <c r="G42" s="16" t="s">
        <v>87</v>
      </c>
      <c r="H42" s="26">
        <v>0</v>
      </c>
      <c r="I42" s="26">
        <v>18245</v>
      </c>
      <c r="J42" s="26">
        <v>0</v>
      </c>
      <c r="K42" s="26">
        <v>0</v>
      </c>
      <c r="L42" s="13">
        <f t="shared" si="1"/>
        <v>18245</v>
      </c>
    </row>
    <row r="43" spans="1:12" ht="15.75" x14ac:dyDescent="0.25">
      <c r="A43" s="16" t="s">
        <v>63</v>
      </c>
      <c r="B43" s="15" t="s">
        <v>91</v>
      </c>
      <c r="C43" s="16" t="s">
        <v>55</v>
      </c>
      <c r="D43" s="16" t="s">
        <v>56</v>
      </c>
      <c r="E43" s="16" t="s">
        <v>63</v>
      </c>
      <c r="F43" s="16" t="s">
        <v>86</v>
      </c>
      <c r="G43" s="16" t="s">
        <v>87</v>
      </c>
      <c r="H43" s="26">
        <v>0</v>
      </c>
      <c r="I43" s="26">
        <v>1579481</v>
      </c>
      <c r="J43" s="26">
        <v>0</v>
      </c>
      <c r="K43" s="26">
        <v>0</v>
      </c>
      <c r="L43" s="13">
        <f t="shared" si="1"/>
        <v>1579481</v>
      </c>
    </row>
    <row r="44" spans="1:12" ht="15.75" x14ac:dyDescent="0.25">
      <c r="A44" s="16" t="s">
        <v>64</v>
      </c>
      <c r="B44" s="15" t="s">
        <v>92</v>
      </c>
      <c r="C44" s="16" t="s">
        <v>55</v>
      </c>
      <c r="D44" s="16" t="s">
        <v>56</v>
      </c>
      <c r="E44" s="16" t="s">
        <v>64</v>
      </c>
      <c r="F44" s="16" t="s">
        <v>86</v>
      </c>
      <c r="G44" s="16" t="s">
        <v>87</v>
      </c>
      <c r="H44" s="26">
        <v>0</v>
      </c>
      <c r="I44" s="26">
        <v>1617750</v>
      </c>
      <c r="J44" s="26">
        <v>0</v>
      </c>
      <c r="K44" s="26">
        <v>0</v>
      </c>
      <c r="L44" s="13">
        <f t="shared" si="1"/>
        <v>1617750</v>
      </c>
    </row>
    <row r="45" spans="1:12" ht="15.75" x14ac:dyDescent="0.25">
      <c r="A45" s="16" t="s">
        <v>120</v>
      </c>
      <c r="B45" s="15" t="s">
        <v>199</v>
      </c>
      <c r="C45" s="16" t="s">
        <v>55</v>
      </c>
      <c r="D45" s="16" t="s">
        <v>56</v>
      </c>
      <c r="E45" s="16" t="s">
        <v>120</v>
      </c>
      <c r="F45" s="16" t="s">
        <v>86</v>
      </c>
      <c r="G45" s="16" t="s">
        <v>87</v>
      </c>
      <c r="H45" s="26">
        <v>2086</v>
      </c>
      <c r="I45" s="26">
        <v>0</v>
      </c>
      <c r="J45" s="26">
        <v>0</v>
      </c>
      <c r="K45" s="26">
        <v>0</v>
      </c>
      <c r="L45" s="13">
        <f t="shared" si="1"/>
        <v>2086</v>
      </c>
    </row>
    <row r="46" spans="1:12" ht="15.75" x14ac:dyDescent="0.25">
      <c r="A46" s="16" t="s">
        <v>121</v>
      </c>
      <c r="B46" s="15" t="s">
        <v>200</v>
      </c>
      <c r="C46" s="16" t="s">
        <v>55</v>
      </c>
      <c r="D46" s="16" t="s">
        <v>56</v>
      </c>
      <c r="E46" s="16" t="s">
        <v>121</v>
      </c>
      <c r="F46" s="16" t="s">
        <v>86</v>
      </c>
      <c r="G46" s="16" t="s">
        <v>87</v>
      </c>
      <c r="H46" s="26">
        <v>2681</v>
      </c>
      <c r="I46" s="26">
        <v>0</v>
      </c>
      <c r="J46" s="26">
        <v>0</v>
      </c>
      <c r="K46" s="26">
        <v>0</v>
      </c>
      <c r="L46" s="13">
        <f t="shared" si="1"/>
        <v>2681</v>
      </c>
    </row>
    <row r="47" spans="1:12" ht="15.75" x14ac:dyDescent="0.25">
      <c r="A47" s="16" t="s">
        <v>65</v>
      </c>
      <c r="B47" s="15" t="s">
        <v>201</v>
      </c>
      <c r="C47" s="16" t="s">
        <v>55</v>
      </c>
      <c r="D47" s="16" t="s">
        <v>57</v>
      </c>
      <c r="E47" s="16" t="s">
        <v>65</v>
      </c>
      <c r="F47" s="16" t="s">
        <v>86</v>
      </c>
      <c r="G47" s="16" t="s">
        <v>87</v>
      </c>
      <c r="H47" s="26">
        <v>30000</v>
      </c>
      <c r="I47" s="26">
        <v>0</v>
      </c>
      <c r="J47" s="26">
        <v>42644</v>
      </c>
      <c r="K47" s="26">
        <v>3200</v>
      </c>
      <c r="L47" s="13">
        <f t="shared" si="1"/>
        <v>75844</v>
      </c>
    </row>
    <row r="48" spans="1:12" ht="15.75" x14ac:dyDescent="0.25">
      <c r="A48" s="16" t="s">
        <v>66</v>
      </c>
      <c r="B48" s="15" t="s">
        <v>93</v>
      </c>
      <c r="C48" s="16" t="s">
        <v>55</v>
      </c>
      <c r="D48" s="16" t="s">
        <v>56</v>
      </c>
      <c r="E48" s="16" t="s">
        <v>66</v>
      </c>
      <c r="F48" s="16" t="s">
        <v>86</v>
      </c>
      <c r="G48" s="16" t="s">
        <v>87</v>
      </c>
      <c r="H48" s="26">
        <v>43510</v>
      </c>
      <c r="I48" s="26">
        <v>0</v>
      </c>
      <c r="J48" s="26">
        <v>0</v>
      </c>
      <c r="K48" s="26">
        <v>0</v>
      </c>
      <c r="L48" s="13">
        <f t="shared" si="1"/>
        <v>43510</v>
      </c>
    </row>
    <row r="49" spans="1:12" ht="15.75" x14ac:dyDescent="0.25">
      <c r="A49" s="16" t="s">
        <v>302</v>
      </c>
      <c r="B49" s="15" t="s">
        <v>301</v>
      </c>
      <c r="C49" s="16" t="s">
        <v>55</v>
      </c>
      <c r="D49" s="16" t="s">
        <v>56</v>
      </c>
      <c r="E49" s="16" t="s">
        <v>302</v>
      </c>
      <c r="F49" s="16" t="s">
        <v>86</v>
      </c>
      <c r="G49" s="16" t="s">
        <v>87</v>
      </c>
      <c r="H49" s="26">
        <v>4618</v>
      </c>
      <c r="I49" s="26">
        <v>0</v>
      </c>
      <c r="J49" s="26">
        <v>0</v>
      </c>
      <c r="K49" s="26">
        <v>0</v>
      </c>
      <c r="L49" s="13">
        <f t="shared" si="1"/>
        <v>4618</v>
      </c>
    </row>
    <row r="50" spans="1:12" ht="15.75" x14ac:dyDescent="0.25">
      <c r="A50" s="16" t="s">
        <v>356</v>
      </c>
      <c r="B50" s="15" t="s">
        <v>355</v>
      </c>
      <c r="C50" s="16" t="s">
        <v>55</v>
      </c>
      <c r="D50" s="16" t="s">
        <v>56</v>
      </c>
      <c r="E50" s="16" t="s">
        <v>356</v>
      </c>
      <c r="F50" s="16" t="s">
        <v>86</v>
      </c>
      <c r="G50" s="16" t="s">
        <v>87</v>
      </c>
      <c r="H50" s="26">
        <v>0</v>
      </c>
      <c r="I50" s="26">
        <v>57000</v>
      </c>
      <c r="J50" s="26">
        <v>0</v>
      </c>
      <c r="K50" s="26">
        <v>0</v>
      </c>
      <c r="L50" s="13">
        <f t="shared" si="1"/>
        <v>57000</v>
      </c>
    </row>
    <row r="51" spans="1:12" ht="15.75" x14ac:dyDescent="0.25">
      <c r="A51" s="16" t="s">
        <v>122</v>
      </c>
      <c r="B51" s="15" t="s">
        <v>202</v>
      </c>
      <c r="C51" s="16" t="s">
        <v>55</v>
      </c>
      <c r="D51" s="16" t="s">
        <v>56</v>
      </c>
      <c r="E51" s="16" t="s">
        <v>122</v>
      </c>
      <c r="F51" s="16" t="s">
        <v>86</v>
      </c>
      <c r="G51" s="16" t="s">
        <v>87</v>
      </c>
      <c r="H51" s="26">
        <v>0</v>
      </c>
      <c r="I51" s="26">
        <v>591565</v>
      </c>
      <c r="J51" s="26">
        <v>0</v>
      </c>
      <c r="K51" s="26">
        <v>0</v>
      </c>
      <c r="L51" s="13">
        <f t="shared" si="1"/>
        <v>591565</v>
      </c>
    </row>
    <row r="52" spans="1:12" ht="15.75" x14ac:dyDescent="0.25">
      <c r="A52" s="16" t="s">
        <v>358</v>
      </c>
      <c r="B52" s="15" t="s">
        <v>357</v>
      </c>
      <c r="C52" s="16" t="s">
        <v>55</v>
      </c>
      <c r="D52" s="16" t="s">
        <v>56</v>
      </c>
      <c r="E52" s="16" t="s">
        <v>358</v>
      </c>
      <c r="F52" s="16" t="s">
        <v>86</v>
      </c>
      <c r="G52" s="16" t="s">
        <v>87</v>
      </c>
      <c r="H52" s="26">
        <v>0</v>
      </c>
      <c r="I52" s="26">
        <v>1920</v>
      </c>
      <c r="J52" s="26">
        <v>0</v>
      </c>
      <c r="K52" s="26">
        <v>0</v>
      </c>
      <c r="L52" s="13">
        <f t="shared" si="1"/>
        <v>1920</v>
      </c>
    </row>
    <row r="53" spans="1:12" ht="15.75" x14ac:dyDescent="0.25">
      <c r="A53" s="16" t="s">
        <v>67</v>
      </c>
      <c r="B53" s="15" t="s">
        <v>203</v>
      </c>
      <c r="C53" s="16" t="s">
        <v>55</v>
      </c>
      <c r="D53" s="16" t="s">
        <v>56</v>
      </c>
      <c r="E53" s="16" t="s">
        <v>67</v>
      </c>
      <c r="F53" s="16" t="s">
        <v>86</v>
      </c>
      <c r="G53" s="16" t="s">
        <v>87</v>
      </c>
      <c r="H53" s="26">
        <v>0</v>
      </c>
      <c r="I53" s="26">
        <v>595780</v>
      </c>
      <c r="J53" s="26">
        <v>0</v>
      </c>
      <c r="K53" s="26">
        <v>0</v>
      </c>
      <c r="L53" s="13">
        <f t="shared" si="1"/>
        <v>595780</v>
      </c>
    </row>
    <row r="54" spans="1:12" ht="15.75" x14ac:dyDescent="0.25">
      <c r="A54" s="16" t="s">
        <v>166</v>
      </c>
      <c r="B54" s="15" t="s">
        <v>204</v>
      </c>
      <c r="C54" s="16" t="s">
        <v>55</v>
      </c>
      <c r="D54" s="16" t="s">
        <v>56</v>
      </c>
      <c r="E54" s="16" t="s">
        <v>166</v>
      </c>
      <c r="F54" s="16" t="s">
        <v>86</v>
      </c>
      <c r="G54" s="16" t="s">
        <v>87</v>
      </c>
      <c r="H54" s="26">
        <v>4044</v>
      </c>
      <c r="I54" s="26">
        <v>0</v>
      </c>
      <c r="J54" s="26">
        <v>0</v>
      </c>
      <c r="K54" s="26">
        <v>0</v>
      </c>
      <c r="L54" s="13">
        <f t="shared" si="1"/>
        <v>4044</v>
      </c>
    </row>
    <row r="55" spans="1:12" ht="15.75" x14ac:dyDescent="0.25">
      <c r="A55" s="16" t="s">
        <v>306</v>
      </c>
      <c r="B55" s="15" t="s">
        <v>305</v>
      </c>
      <c r="C55" s="16" t="s">
        <v>55</v>
      </c>
      <c r="D55" s="16" t="s">
        <v>56</v>
      </c>
      <c r="E55" s="16" t="s">
        <v>306</v>
      </c>
      <c r="F55" s="16" t="s">
        <v>86</v>
      </c>
      <c r="G55" s="16" t="s">
        <v>87</v>
      </c>
      <c r="H55" s="26">
        <v>3017</v>
      </c>
      <c r="I55" s="26">
        <v>0</v>
      </c>
      <c r="J55" s="26">
        <v>0</v>
      </c>
      <c r="K55" s="26">
        <v>0</v>
      </c>
      <c r="L55" s="13">
        <f t="shared" si="1"/>
        <v>3017</v>
      </c>
    </row>
    <row r="56" spans="1:12" ht="15.75" x14ac:dyDescent="0.25">
      <c r="A56" s="16" t="s">
        <v>265</v>
      </c>
      <c r="B56" s="15" t="s">
        <v>264</v>
      </c>
      <c r="C56" s="16" t="s">
        <v>55</v>
      </c>
      <c r="D56" s="16" t="s">
        <v>56</v>
      </c>
      <c r="E56" s="16" t="s">
        <v>265</v>
      </c>
      <c r="F56" s="16" t="s">
        <v>86</v>
      </c>
      <c r="G56" s="16" t="s">
        <v>87</v>
      </c>
      <c r="H56" s="26">
        <v>0</v>
      </c>
      <c r="I56" s="26">
        <v>2471</v>
      </c>
      <c r="J56" s="26">
        <v>0</v>
      </c>
      <c r="K56" s="26">
        <v>0</v>
      </c>
      <c r="L56" s="13">
        <f t="shared" si="1"/>
        <v>2471</v>
      </c>
    </row>
    <row r="57" spans="1:12" ht="15.75" x14ac:dyDescent="0.25">
      <c r="A57" s="16" t="s">
        <v>123</v>
      </c>
      <c r="B57" s="15" t="s">
        <v>205</v>
      </c>
      <c r="C57" s="16" t="s">
        <v>55</v>
      </c>
      <c r="D57" s="16" t="s">
        <v>56</v>
      </c>
      <c r="E57" s="16" t="s">
        <v>123</v>
      </c>
      <c r="F57" s="16" t="s">
        <v>86</v>
      </c>
      <c r="G57" s="16" t="s">
        <v>87</v>
      </c>
      <c r="H57" s="26">
        <v>63321</v>
      </c>
      <c r="I57" s="26">
        <v>0</v>
      </c>
      <c r="J57" s="26">
        <v>0</v>
      </c>
      <c r="K57" s="26">
        <v>0</v>
      </c>
      <c r="L57" s="13">
        <f t="shared" si="1"/>
        <v>63321</v>
      </c>
    </row>
    <row r="58" spans="1:12" ht="15.75" x14ac:dyDescent="0.25">
      <c r="A58" s="16" t="s">
        <v>124</v>
      </c>
      <c r="B58" s="15" t="s">
        <v>206</v>
      </c>
      <c r="C58" s="16" t="s">
        <v>55</v>
      </c>
      <c r="D58" s="16" t="s">
        <v>56</v>
      </c>
      <c r="E58" s="16" t="s">
        <v>124</v>
      </c>
      <c r="F58" s="16" t="s">
        <v>86</v>
      </c>
      <c r="G58" s="16" t="s">
        <v>87</v>
      </c>
      <c r="H58" s="26">
        <v>7250</v>
      </c>
      <c r="I58" s="26">
        <v>0</v>
      </c>
      <c r="J58" s="26">
        <v>0</v>
      </c>
      <c r="K58" s="26">
        <v>0</v>
      </c>
      <c r="L58" s="13">
        <f t="shared" si="1"/>
        <v>7250</v>
      </c>
    </row>
    <row r="59" spans="1:12" ht="15.75" x14ac:dyDescent="0.25">
      <c r="A59" s="16" t="s">
        <v>125</v>
      </c>
      <c r="B59" s="15" t="s">
        <v>207</v>
      </c>
      <c r="C59" s="16" t="s">
        <v>55</v>
      </c>
      <c r="D59" s="16" t="s">
        <v>56</v>
      </c>
      <c r="E59" s="16" t="s">
        <v>125</v>
      </c>
      <c r="F59" s="16" t="s">
        <v>86</v>
      </c>
      <c r="G59" s="16" t="s">
        <v>87</v>
      </c>
      <c r="H59" s="26">
        <v>16655</v>
      </c>
      <c r="I59" s="26">
        <v>0</v>
      </c>
      <c r="J59" s="26">
        <v>0</v>
      </c>
      <c r="K59" s="26">
        <v>0</v>
      </c>
      <c r="L59" s="13">
        <f t="shared" si="1"/>
        <v>16655</v>
      </c>
    </row>
    <row r="60" spans="1:12" ht="15.75" x14ac:dyDescent="0.25">
      <c r="A60" s="16" t="s">
        <v>308</v>
      </c>
      <c r="B60" s="15" t="s">
        <v>307</v>
      </c>
      <c r="C60" s="16" t="s">
        <v>55</v>
      </c>
      <c r="D60" s="16" t="s">
        <v>56</v>
      </c>
      <c r="E60" s="16" t="s">
        <v>308</v>
      </c>
      <c r="F60" s="16" t="s">
        <v>86</v>
      </c>
      <c r="G60" s="16" t="s">
        <v>87</v>
      </c>
      <c r="H60" s="26">
        <v>67594</v>
      </c>
      <c r="I60" s="26">
        <v>0</v>
      </c>
      <c r="J60" s="26">
        <v>0</v>
      </c>
      <c r="K60" s="26">
        <v>0</v>
      </c>
      <c r="L60" s="13">
        <f t="shared" si="1"/>
        <v>67594</v>
      </c>
    </row>
    <row r="61" spans="1:12" ht="15.75" x14ac:dyDescent="0.25">
      <c r="A61" s="16" t="s">
        <v>70</v>
      </c>
      <c r="B61" s="15" t="s">
        <v>96</v>
      </c>
      <c r="C61" s="16" t="s">
        <v>55</v>
      </c>
      <c r="D61" s="16" t="s">
        <v>56</v>
      </c>
      <c r="E61" s="16" t="s">
        <v>70</v>
      </c>
      <c r="F61" s="16" t="s">
        <v>86</v>
      </c>
      <c r="G61" s="16" t="s">
        <v>87</v>
      </c>
      <c r="H61" s="26">
        <v>7268</v>
      </c>
      <c r="I61" s="26">
        <v>0</v>
      </c>
      <c r="J61" s="26">
        <v>0</v>
      </c>
      <c r="K61" s="26">
        <v>0</v>
      </c>
      <c r="L61" s="13">
        <f t="shared" si="1"/>
        <v>7268</v>
      </c>
    </row>
    <row r="62" spans="1:12" ht="15.75" x14ac:dyDescent="0.25">
      <c r="A62" s="16" t="s">
        <v>267</v>
      </c>
      <c r="B62" s="15" t="s">
        <v>266</v>
      </c>
      <c r="C62" s="16" t="s">
        <v>55</v>
      </c>
      <c r="D62" s="16" t="s">
        <v>56</v>
      </c>
      <c r="E62" s="16" t="s">
        <v>267</v>
      </c>
      <c r="F62" s="16" t="s">
        <v>86</v>
      </c>
      <c r="G62" s="16" t="s">
        <v>87</v>
      </c>
      <c r="H62" s="26">
        <v>288</v>
      </c>
      <c r="I62" s="26">
        <v>0</v>
      </c>
      <c r="J62" s="26">
        <v>0</v>
      </c>
      <c r="K62" s="26">
        <v>0</v>
      </c>
      <c r="L62" s="13">
        <f t="shared" si="1"/>
        <v>288</v>
      </c>
    </row>
    <row r="63" spans="1:12" ht="15.75" x14ac:dyDescent="0.25">
      <c r="A63" s="16" t="s">
        <v>126</v>
      </c>
      <c r="B63" s="15" t="s">
        <v>208</v>
      </c>
      <c r="C63" s="16" t="s">
        <v>55</v>
      </c>
      <c r="D63" s="16" t="s">
        <v>56</v>
      </c>
      <c r="E63" s="16" t="s">
        <v>126</v>
      </c>
      <c r="F63" s="16" t="s">
        <v>86</v>
      </c>
      <c r="G63" s="16" t="s">
        <v>87</v>
      </c>
      <c r="H63" s="26">
        <v>0</v>
      </c>
      <c r="I63" s="26">
        <v>979841</v>
      </c>
      <c r="J63" s="26">
        <v>0</v>
      </c>
      <c r="K63" s="26">
        <v>0</v>
      </c>
      <c r="L63" s="13">
        <f t="shared" si="1"/>
        <v>979841</v>
      </c>
    </row>
    <row r="64" spans="1:12" ht="15.75" x14ac:dyDescent="0.25">
      <c r="A64" s="16" t="s">
        <v>269</v>
      </c>
      <c r="B64" s="15" t="s">
        <v>268</v>
      </c>
      <c r="C64" s="16" t="s">
        <v>55</v>
      </c>
      <c r="D64" s="16" t="s">
        <v>56</v>
      </c>
      <c r="E64" s="16" t="s">
        <v>269</v>
      </c>
      <c r="F64" s="16" t="s">
        <v>86</v>
      </c>
      <c r="G64" s="16" t="s">
        <v>87</v>
      </c>
      <c r="H64" s="26">
        <v>1200</v>
      </c>
      <c r="I64" s="26">
        <v>0</v>
      </c>
      <c r="J64" s="26">
        <v>0</v>
      </c>
      <c r="K64" s="26">
        <v>0</v>
      </c>
      <c r="L64" s="13">
        <f t="shared" si="1"/>
        <v>1200</v>
      </c>
    </row>
    <row r="65" spans="1:12" ht="15.75" x14ac:dyDescent="0.25">
      <c r="A65" s="16" t="s">
        <v>127</v>
      </c>
      <c r="B65" s="15" t="s">
        <v>209</v>
      </c>
      <c r="C65" s="16" t="s">
        <v>55</v>
      </c>
      <c r="D65" s="16" t="s">
        <v>56</v>
      </c>
      <c r="E65" s="16" t="s">
        <v>127</v>
      </c>
      <c r="F65" s="16" t="s">
        <v>86</v>
      </c>
      <c r="G65" s="16" t="s">
        <v>87</v>
      </c>
      <c r="H65" s="26">
        <v>0</v>
      </c>
      <c r="I65" s="26">
        <v>0</v>
      </c>
      <c r="J65" s="26">
        <v>5020</v>
      </c>
      <c r="K65" s="26">
        <v>0</v>
      </c>
      <c r="L65" s="13">
        <f t="shared" si="1"/>
        <v>5020</v>
      </c>
    </row>
    <row r="66" spans="1:12" ht="15.75" x14ac:dyDescent="0.25">
      <c r="A66" s="16" t="s">
        <v>360</v>
      </c>
      <c r="B66" s="15" t="s">
        <v>359</v>
      </c>
      <c r="C66" s="16" t="s">
        <v>55</v>
      </c>
      <c r="D66" s="16" t="s">
        <v>57</v>
      </c>
      <c r="E66" s="16" t="s">
        <v>360</v>
      </c>
      <c r="F66" s="16" t="s">
        <v>86</v>
      </c>
      <c r="G66" s="16" t="s">
        <v>87</v>
      </c>
      <c r="H66" s="26">
        <v>0</v>
      </c>
      <c r="I66" s="26">
        <v>0</v>
      </c>
      <c r="J66" s="26">
        <v>676860</v>
      </c>
      <c r="K66" s="26">
        <v>0</v>
      </c>
      <c r="L66" s="13">
        <f t="shared" ref="L66:L97" si="2">SUM(H66:K66)</f>
        <v>676860</v>
      </c>
    </row>
    <row r="67" spans="1:12" ht="15.75" x14ac:dyDescent="0.25">
      <c r="A67" s="16" t="s">
        <v>128</v>
      </c>
      <c r="B67" s="15" t="s">
        <v>210</v>
      </c>
      <c r="C67" s="16" t="s">
        <v>55</v>
      </c>
      <c r="D67" s="16" t="s">
        <v>57</v>
      </c>
      <c r="E67" s="16" t="s">
        <v>128</v>
      </c>
      <c r="F67" s="16" t="s">
        <v>86</v>
      </c>
      <c r="G67" s="16" t="s">
        <v>87</v>
      </c>
      <c r="H67" s="26">
        <v>19000</v>
      </c>
      <c r="I67" s="26">
        <v>0</v>
      </c>
      <c r="J67" s="26">
        <v>0</v>
      </c>
      <c r="K67" s="26">
        <v>2027</v>
      </c>
      <c r="L67" s="13">
        <f t="shared" si="2"/>
        <v>21027</v>
      </c>
    </row>
    <row r="68" spans="1:12" ht="15.75" x14ac:dyDescent="0.25">
      <c r="A68" s="16" t="s">
        <v>310</v>
      </c>
      <c r="B68" s="15" t="s">
        <v>309</v>
      </c>
      <c r="C68" s="16" t="s">
        <v>55</v>
      </c>
      <c r="D68" s="16" t="s">
        <v>57</v>
      </c>
      <c r="E68" s="16" t="s">
        <v>310</v>
      </c>
      <c r="F68" s="16" t="s">
        <v>86</v>
      </c>
      <c r="G68" s="16" t="s">
        <v>87</v>
      </c>
      <c r="H68" s="26">
        <v>0</v>
      </c>
      <c r="I68" s="26">
        <v>0</v>
      </c>
      <c r="J68" s="26">
        <v>280000</v>
      </c>
      <c r="K68" s="26">
        <v>0</v>
      </c>
      <c r="L68" s="13">
        <f t="shared" si="2"/>
        <v>280000</v>
      </c>
    </row>
    <row r="69" spans="1:12" ht="15.75" x14ac:dyDescent="0.25">
      <c r="A69" s="16" t="s">
        <v>167</v>
      </c>
      <c r="B69" s="15" t="s">
        <v>211</v>
      </c>
      <c r="C69" s="16" t="s">
        <v>55</v>
      </c>
      <c r="D69" s="16" t="s">
        <v>57</v>
      </c>
      <c r="E69" s="16" t="s">
        <v>167</v>
      </c>
      <c r="F69" s="16" t="s">
        <v>86</v>
      </c>
      <c r="G69" s="16" t="s">
        <v>87</v>
      </c>
      <c r="H69" s="26">
        <v>4800</v>
      </c>
      <c r="I69" s="26">
        <v>0</v>
      </c>
      <c r="J69" s="26">
        <v>0</v>
      </c>
      <c r="K69" s="26">
        <v>512</v>
      </c>
      <c r="L69" s="13">
        <f t="shared" si="2"/>
        <v>5312</v>
      </c>
    </row>
    <row r="70" spans="1:12" ht="15.75" x14ac:dyDescent="0.25">
      <c r="A70" s="16" t="s">
        <v>312</v>
      </c>
      <c r="B70" s="15" t="s">
        <v>311</v>
      </c>
      <c r="C70" s="16" t="s">
        <v>55</v>
      </c>
      <c r="D70" s="16" t="s">
        <v>56</v>
      </c>
      <c r="E70" s="16" t="s">
        <v>312</v>
      </c>
      <c r="F70" s="16" t="s">
        <v>86</v>
      </c>
      <c r="G70" s="16" t="s">
        <v>87</v>
      </c>
      <c r="H70" s="26">
        <v>0</v>
      </c>
      <c r="I70" s="26">
        <v>0</v>
      </c>
      <c r="J70" s="26">
        <v>4320</v>
      </c>
      <c r="K70" s="26">
        <v>0</v>
      </c>
      <c r="L70" s="13">
        <f t="shared" si="2"/>
        <v>4320</v>
      </c>
    </row>
    <row r="71" spans="1:12" ht="15.75" x14ac:dyDescent="0.25">
      <c r="A71" s="16" t="s">
        <v>362</v>
      </c>
      <c r="B71" s="15" t="s">
        <v>361</v>
      </c>
      <c r="C71" s="16" t="s">
        <v>55</v>
      </c>
      <c r="D71" s="16" t="s">
        <v>57</v>
      </c>
      <c r="E71" s="16" t="s">
        <v>362</v>
      </c>
      <c r="F71" s="16" t="s">
        <v>86</v>
      </c>
      <c r="G71" s="16" t="s">
        <v>87</v>
      </c>
      <c r="H71" s="26">
        <v>20000</v>
      </c>
      <c r="I71" s="26">
        <v>0</v>
      </c>
      <c r="J71" s="26">
        <v>0</v>
      </c>
      <c r="K71" s="26">
        <v>2133</v>
      </c>
      <c r="L71" s="13">
        <f t="shared" si="2"/>
        <v>22133</v>
      </c>
    </row>
    <row r="72" spans="1:12" ht="15.75" x14ac:dyDescent="0.25">
      <c r="A72" s="16" t="s">
        <v>129</v>
      </c>
      <c r="B72" s="15" t="s">
        <v>212</v>
      </c>
      <c r="C72" s="16" t="s">
        <v>55</v>
      </c>
      <c r="D72" s="16" t="s">
        <v>56</v>
      </c>
      <c r="E72" s="16" t="s">
        <v>129</v>
      </c>
      <c r="F72" s="16" t="s">
        <v>86</v>
      </c>
      <c r="G72" s="16" t="s">
        <v>87</v>
      </c>
      <c r="H72" s="26">
        <v>0</v>
      </c>
      <c r="I72" s="26">
        <v>0</v>
      </c>
      <c r="J72" s="26">
        <v>113252</v>
      </c>
      <c r="K72" s="26">
        <v>0</v>
      </c>
      <c r="L72" s="13">
        <f t="shared" si="2"/>
        <v>113252</v>
      </c>
    </row>
    <row r="73" spans="1:12" ht="15.75" x14ac:dyDescent="0.25">
      <c r="A73" s="16" t="s">
        <v>130</v>
      </c>
      <c r="B73" s="15" t="s">
        <v>213</v>
      </c>
      <c r="C73" s="16" t="s">
        <v>55</v>
      </c>
      <c r="D73" s="16" t="s">
        <v>57</v>
      </c>
      <c r="E73" s="16" t="s">
        <v>130</v>
      </c>
      <c r="F73" s="16" t="s">
        <v>86</v>
      </c>
      <c r="G73" s="16" t="s">
        <v>87</v>
      </c>
      <c r="H73" s="26">
        <v>0</v>
      </c>
      <c r="I73" s="26">
        <v>0</v>
      </c>
      <c r="J73" s="26">
        <v>91240</v>
      </c>
      <c r="K73" s="26">
        <v>0</v>
      </c>
      <c r="L73" s="13">
        <f t="shared" si="2"/>
        <v>91240</v>
      </c>
    </row>
    <row r="74" spans="1:12" ht="15.75" x14ac:dyDescent="0.25">
      <c r="A74" s="16" t="s">
        <v>131</v>
      </c>
      <c r="B74" s="15" t="s">
        <v>214</v>
      </c>
      <c r="C74" s="16" t="s">
        <v>55</v>
      </c>
      <c r="D74" s="16" t="s">
        <v>58</v>
      </c>
      <c r="E74" s="16" t="s">
        <v>131</v>
      </c>
      <c r="F74" s="16" t="s">
        <v>86</v>
      </c>
      <c r="G74" s="16" t="s">
        <v>87</v>
      </c>
      <c r="H74" s="26">
        <v>39178</v>
      </c>
      <c r="I74" s="26">
        <v>0</v>
      </c>
      <c r="J74" s="26">
        <v>0</v>
      </c>
      <c r="K74" s="26">
        <v>4180</v>
      </c>
      <c r="L74" s="13">
        <f t="shared" si="2"/>
        <v>43358</v>
      </c>
    </row>
    <row r="75" spans="1:12" ht="15.75" x14ac:dyDescent="0.25">
      <c r="A75" s="16" t="s">
        <v>162</v>
      </c>
      <c r="B75" s="15" t="s">
        <v>215</v>
      </c>
      <c r="C75" s="16" t="s">
        <v>55</v>
      </c>
      <c r="D75" s="16" t="s">
        <v>57</v>
      </c>
      <c r="E75" s="16" t="s">
        <v>162</v>
      </c>
      <c r="F75" s="16" t="s">
        <v>86</v>
      </c>
      <c r="G75" s="16" t="s">
        <v>87</v>
      </c>
      <c r="H75" s="26">
        <v>0</v>
      </c>
      <c r="I75" s="26">
        <v>0</v>
      </c>
      <c r="J75" s="26">
        <v>63538</v>
      </c>
      <c r="K75" s="26">
        <v>0</v>
      </c>
      <c r="L75" s="13">
        <f t="shared" si="2"/>
        <v>63538</v>
      </c>
    </row>
    <row r="76" spans="1:12" ht="15.75" x14ac:dyDescent="0.25">
      <c r="A76" s="16" t="s">
        <v>132</v>
      </c>
      <c r="B76" s="15" t="s">
        <v>216</v>
      </c>
      <c r="C76" s="16" t="s">
        <v>55</v>
      </c>
      <c r="D76" s="16" t="s">
        <v>56</v>
      </c>
      <c r="E76" s="16" t="s">
        <v>132</v>
      </c>
      <c r="F76" s="16" t="s">
        <v>86</v>
      </c>
      <c r="G76" s="16" t="s">
        <v>87</v>
      </c>
      <c r="H76" s="26">
        <v>25272</v>
      </c>
      <c r="I76" s="26">
        <v>0</v>
      </c>
      <c r="J76" s="26">
        <v>0</v>
      </c>
      <c r="K76" s="26">
        <v>0</v>
      </c>
      <c r="L76" s="13">
        <f t="shared" si="2"/>
        <v>25272</v>
      </c>
    </row>
    <row r="77" spans="1:12" ht="15.75" x14ac:dyDescent="0.25">
      <c r="A77" s="16" t="s">
        <v>314</v>
      </c>
      <c r="B77" s="15" t="s">
        <v>313</v>
      </c>
      <c r="C77" s="16" t="s">
        <v>55</v>
      </c>
      <c r="D77" s="16" t="s">
        <v>56</v>
      </c>
      <c r="E77" s="16" t="s">
        <v>314</v>
      </c>
      <c r="F77" s="16" t="s">
        <v>86</v>
      </c>
      <c r="G77" s="16" t="s">
        <v>87</v>
      </c>
      <c r="H77" s="26">
        <v>280000</v>
      </c>
      <c r="I77" s="26">
        <v>0</v>
      </c>
      <c r="J77" s="26">
        <v>0</v>
      </c>
      <c r="K77" s="26">
        <v>29867</v>
      </c>
      <c r="L77" s="13">
        <f t="shared" si="2"/>
        <v>309867</v>
      </c>
    </row>
    <row r="78" spans="1:12" ht="15.75" x14ac:dyDescent="0.25">
      <c r="A78" s="16" t="s">
        <v>364</v>
      </c>
      <c r="B78" s="15" t="s">
        <v>363</v>
      </c>
      <c r="C78" s="16" t="s">
        <v>55</v>
      </c>
      <c r="D78" s="16" t="s">
        <v>57</v>
      </c>
      <c r="E78" s="16" t="s">
        <v>364</v>
      </c>
      <c r="F78" s="16" t="s">
        <v>86</v>
      </c>
      <c r="G78" s="16" t="s">
        <v>87</v>
      </c>
      <c r="H78" s="26">
        <v>0</v>
      </c>
      <c r="I78" s="26">
        <v>0</v>
      </c>
      <c r="J78" s="26">
        <v>6059</v>
      </c>
      <c r="K78" s="26">
        <v>0</v>
      </c>
      <c r="L78" s="13">
        <f t="shared" si="2"/>
        <v>6059</v>
      </c>
    </row>
    <row r="79" spans="1:12" ht="15.75" x14ac:dyDescent="0.25">
      <c r="A79" s="16" t="s">
        <v>161</v>
      </c>
      <c r="B79" s="15" t="s">
        <v>217</v>
      </c>
      <c r="C79" s="16" t="s">
        <v>55</v>
      </c>
      <c r="D79" s="16" t="s">
        <v>56</v>
      </c>
      <c r="E79" s="16" t="s">
        <v>161</v>
      </c>
      <c r="F79" s="16" t="s">
        <v>86</v>
      </c>
      <c r="G79" s="16" t="s">
        <v>87</v>
      </c>
      <c r="H79" s="26">
        <v>85063</v>
      </c>
      <c r="I79" s="26">
        <v>0</v>
      </c>
      <c r="J79" s="26">
        <v>0</v>
      </c>
      <c r="K79" s="26">
        <v>0</v>
      </c>
      <c r="L79" s="13">
        <f t="shared" si="2"/>
        <v>85063</v>
      </c>
    </row>
    <row r="80" spans="1:12" ht="15.75" x14ac:dyDescent="0.25">
      <c r="A80" s="16" t="s">
        <v>74</v>
      </c>
      <c r="B80" s="15" t="s">
        <v>100</v>
      </c>
      <c r="C80" s="16" t="s">
        <v>55</v>
      </c>
      <c r="D80" s="16" t="s">
        <v>56</v>
      </c>
      <c r="E80" s="16" t="s">
        <v>74</v>
      </c>
      <c r="F80" s="16" t="s">
        <v>86</v>
      </c>
      <c r="G80" s="16" t="s">
        <v>87</v>
      </c>
      <c r="H80" s="26">
        <v>0</v>
      </c>
      <c r="I80" s="26">
        <v>4091811</v>
      </c>
      <c r="J80" s="26">
        <v>0</v>
      </c>
      <c r="K80" s="26">
        <v>0</v>
      </c>
      <c r="L80" s="13">
        <f t="shared" si="2"/>
        <v>4091811</v>
      </c>
    </row>
    <row r="81" spans="1:12" ht="15.75" x14ac:dyDescent="0.25">
      <c r="A81" s="16" t="s">
        <v>133</v>
      </c>
      <c r="B81" s="15" t="s">
        <v>218</v>
      </c>
      <c r="C81" s="16" t="s">
        <v>55</v>
      </c>
      <c r="D81" s="16" t="s">
        <v>57</v>
      </c>
      <c r="E81" s="16" t="s">
        <v>133</v>
      </c>
      <c r="F81" s="16" t="s">
        <v>86</v>
      </c>
      <c r="G81" s="16" t="s">
        <v>87</v>
      </c>
      <c r="H81" s="26">
        <v>75000</v>
      </c>
      <c r="I81" s="26">
        <v>0</v>
      </c>
      <c r="J81" s="26">
        <v>0</v>
      </c>
      <c r="K81" s="26">
        <v>8000</v>
      </c>
      <c r="L81" s="13">
        <f t="shared" si="2"/>
        <v>83000</v>
      </c>
    </row>
    <row r="82" spans="1:12" ht="15.75" x14ac:dyDescent="0.25">
      <c r="A82" s="16" t="s">
        <v>172</v>
      </c>
      <c r="B82" s="15" t="s">
        <v>219</v>
      </c>
      <c r="C82" s="16" t="s">
        <v>55</v>
      </c>
      <c r="D82" s="16" t="s">
        <v>57</v>
      </c>
      <c r="E82" s="16" t="s">
        <v>172</v>
      </c>
      <c r="F82" s="16" t="s">
        <v>86</v>
      </c>
      <c r="G82" s="16" t="s">
        <v>87</v>
      </c>
      <c r="H82" s="26">
        <v>19215</v>
      </c>
      <c r="I82" s="26">
        <v>0</v>
      </c>
      <c r="J82" s="26">
        <v>0</v>
      </c>
      <c r="K82" s="26">
        <v>2050</v>
      </c>
      <c r="L82" s="13">
        <f t="shared" si="2"/>
        <v>21265</v>
      </c>
    </row>
    <row r="83" spans="1:12" ht="15.75" x14ac:dyDescent="0.25">
      <c r="A83" s="16" t="s">
        <v>221</v>
      </c>
      <c r="B83" s="15" t="s">
        <v>220</v>
      </c>
      <c r="C83" s="16" t="s">
        <v>55</v>
      </c>
      <c r="D83" s="16" t="s">
        <v>57</v>
      </c>
      <c r="E83" s="16" t="s">
        <v>221</v>
      </c>
      <c r="F83" s="16" t="s">
        <v>86</v>
      </c>
      <c r="G83" s="16" t="s">
        <v>87</v>
      </c>
      <c r="H83" s="26">
        <v>0</v>
      </c>
      <c r="I83" s="26">
        <v>0</v>
      </c>
      <c r="J83" s="26">
        <v>10622</v>
      </c>
      <c r="K83" s="26">
        <v>0</v>
      </c>
      <c r="L83" s="13">
        <f t="shared" si="2"/>
        <v>10622</v>
      </c>
    </row>
    <row r="84" spans="1:12" ht="15.75" x14ac:dyDescent="0.25">
      <c r="A84" s="16" t="s">
        <v>135</v>
      </c>
      <c r="B84" s="15" t="s">
        <v>134</v>
      </c>
      <c r="C84" s="16" t="s">
        <v>55</v>
      </c>
      <c r="D84" s="16" t="s">
        <v>56</v>
      </c>
      <c r="E84" s="16" t="s">
        <v>135</v>
      </c>
      <c r="F84" s="16" t="s">
        <v>86</v>
      </c>
      <c r="G84" s="16" t="s">
        <v>87</v>
      </c>
      <c r="H84" s="26">
        <v>4652</v>
      </c>
      <c r="I84" s="26">
        <v>0</v>
      </c>
      <c r="J84" s="26">
        <v>0</v>
      </c>
      <c r="K84" s="26">
        <v>0</v>
      </c>
      <c r="L84" s="13">
        <f t="shared" si="2"/>
        <v>4652</v>
      </c>
    </row>
    <row r="85" spans="1:12" ht="15.75" x14ac:dyDescent="0.25">
      <c r="A85" s="16" t="s">
        <v>136</v>
      </c>
      <c r="B85" s="15" t="s">
        <v>222</v>
      </c>
      <c r="C85" s="16" t="s">
        <v>55</v>
      </c>
      <c r="D85" s="16" t="s">
        <v>57</v>
      </c>
      <c r="E85" s="16" t="s">
        <v>136</v>
      </c>
      <c r="F85" s="16" t="s">
        <v>86</v>
      </c>
      <c r="G85" s="16" t="s">
        <v>87</v>
      </c>
      <c r="H85" s="26">
        <v>20000</v>
      </c>
      <c r="I85" s="26">
        <v>0</v>
      </c>
      <c r="J85" s="26">
        <v>0</v>
      </c>
      <c r="K85" s="26">
        <v>2133</v>
      </c>
      <c r="L85" s="13">
        <f t="shared" si="2"/>
        <v>22133</v>
      </c>
    </row>
    <row r="86" spans="1:12" ht="15.75" x14ac:dyDescent="0.25">
      <c r="A86" s="16" t="s">
        <v>137</v>
      </c>
      <c r="B86" s="15" t="s">
        <v>223</v>
      </c>
      <c r="C86" s="16" t="s">
        <v>55</v>
      </c>
      <c r="D86" s="16" t="s">
        <v>57</v>
      </c>
      <c r="E86" s="16" t="s">
        <v>137</v>
      </c>
      <c r="F86" s="16" t="s">
        <v>86</v>
      </c>
      <c r="G86" s="16" t="s">
        <v>87</v>
      </c>
      <c r="H86" s="26">
        <v>11250</v>
      </c>
      <c r="I86" s="26">
        <v>0</v>
      </c>
      <c r="J86" s="26">
        <v>0</v>
      </c>
      <c r="K86" s="26">
        <v>1200</v>
      </c>
      <c r="L86" s="13">
        <f t="shared" si="2"/>
        <v>12450</v>
      </c>
    </row>
    <row r="87" spans="1:12" ht="15.75" x14ac:dyDescent="0.25">
      <c r="A87" s="16" t="s">
        <v>366</v>
      </c>
      <c r="B87" s="15" t="s">
        <v>365</v>
      </c>
      <c r="C87" s="16" t="s">
        <v>55</v>
      </c>
      <c r="D87" s="16" t="s">
        <v>56</v>
      </c>
      <c r="E87" s="16" t="s">
        <v>366</v>
      </c>
      <c r="F87" s="16" t="s">
        <v>86</v>
      </c>
      <c r="G87" s="16" t="s">
        <v>87</v>
      </c>
      <c r="H87" s="26">
        <v>0</v>
      </c>
      <c r="I87" s="26">
        <v>35600</v>
      </c>
      <c r="J87" s="26">
        <v>0</v>
      </c>
      <c r="K87" s="26">
        <v>0</v>
      </c>
      <c r="L87" s="13">
        <f t="shared" si="2"/>
        <v>35600</v>
      </c>
    </row>
    <row r="88" spans="1:12" ht="15.75" x14ac:dyDescent="0.25">
      <c r="A88" s="16" t="s">
        <v>164</v>
      </c>
      <c r="B88" s="15" t="s">
        <v>224</v>
      </c>
      <c r="C88" s="16" t="s">
        <v>55</v>
      </c>
      <c r="D88" s="16" t="s">
        <v>56</v>
      </c>
      <c r="E88" s="16" t="s">
        <v>164</v>
      </c>
      <c r="F88" s="16" t="s">
        <v>86</v>
      </c>
      <c r="G88" s="16" t="s">
        <v>87</v>
      </c>
      <c r="H88" s="26">
        <v>21434</v>
      </c>
      <c r="I88" s="26">
        <v>0</v>
      </c>
      <c r="J88" s="26">
        <v>0</v>
      </c>
      <c r="K88" s="26">
        <v>0</v>
      </c>
      <c r="L88" s="13">
        <f t="shared" si="2"/>
        <v>21434</v>
      </c>
    </row>
    <row r="89" spans="1:12" ht="15.75" x14ac:dyDescent="0.25">
      <c r="A89" s="16" t="s">
        <v>138</v>
      </c>
      <c r="B89" s="15" t="s">
        <v>225</v>
      </c>
      <c r="C89" s="16" t="s">
        <v>55</v>
      </c>
      <c r="D89" s="16" t="s">
        <v>58</v>
      </c>
      <c r="E89" s="16" t="s">
        <v>138</v>
      </c>
      <c r="F89" s="16" t="s">
        <v>86</v>
      </c>
      <c r="G89" s="16" t="s">
        <v>87</v>
      </c>
      <c r="H89" s="26">
        <v>3032</v>
      </c>
      <c r="I89" s="26">
        <v>0</v>
      </c>
      <c r="J89" s="26">
        <v>0</v>
      </c>
      <c r="K89" s="26">
        <v>0</v>
      </c>
      <c r="L89" s="13">
        <f t="shared" si="2"/>
        <v>3032</v>
      </c>
    </row>
    <row r="90" spans="1:12" ht="15.75" x14ac:dyDescent="0.25">
      <c r="A90" s="16" t="s">
        <v>370</v>
      </c>
      <c r="B90" s="15" t="s">
        <v>369</v>
      </c>
      <c r="C90" s="16" t="s">
        <v>55</v>
      </c>
      <c r="D90" s="16" t="s">
        <v>56</v>
      </c>
      <c r="E90" s="16" t="s">
        <v>370</v>
      </c>
      <c r="F90" s="16" t="s">
        <v>86</v>
      </c>
      <c r="G90" s="16" t="s">
        <v>87</v>
      </c>
      <c r="H90" s="26">
        <v>3364</v>
      </c>
      <c r="I90" s="26">
        <v>0</v>
      </c>
      <c r="J90" s="26">
        <v>0</v>
      </c>
      <c r="K90" s="26">
        <v>0</v>
      </c>
      <c r="L90" s="13">
        <f t="shared" si="2"/>
        <v>3364</v>
      </c>
    </row>
    <row r="91" spans="1:12" ht="15.75" x14ac:dyDescent="0.25">
      <c r="A91" s="16" t="s">
        <v>271</v>
      </c>
      <c r="B91" s="15" t="s">
        <v>270</v>
      </c>
      <c r="C91" s="16" t="s">
        <v>55</v>
      </c>
      <c r="D91" s="16" t="s">
        <v>56</v>
      </c>
      <c r="E91" s="16" t="s">
        <v>271</v>
      </c>
      <c r="F91" s="16" t="s">
        <v>86</v>
      </c>
      <c r="G91" s="16" t="s">
        <v>87</v>
      </c>
      <c r="H91" s="26">
        <v>397</v>
      </c>
      <c r="I91" s="26">
        <v>0</v>
      </c>
      <c r="J91" s="26">
        <v>0</v>
      </c>
      <c r="K91" s="26">
        <v>0</v>
      </c>
      <c r="L91" s="13">
        <f t="shared" si="2"/>
        <v>397</v>
      </c>
    </row>
    <row r="92" spans="1:12" ht="15.75" x14ac:dyDescent="0.25">
      <c r="A92" s="16" t="s">
        <v>139</v>
      </c>
      <c r="B92" s="15" t="s">
        <v>226</v>
      </c>
      <c r="C92" s="16" t="s">
        <v>55</v>
      </c>
      <c r="D92" s="16" t="s">
        <v>56</v>
      </c>
      <c r="E92" s="16" t="s">
        <v>139</v>
      </c>
      <c r="F92" s="16" t="s">
        <v>86</v>
      </c>
      <c r="G92" s="16" t="s">
        <v>87</v>
      </c>
      <c r="H92" s="26">
        <v>3845</v>
      </c>
      <c r="I92" s="26">
        <v>0</v>
      </c>
      <c r="J92" s="26">
        <v>0</v>
      </c>
      <c r="K92" s="26">
        <v>0</v>
      </c>
      <c r="L92" s="13">
        <f t="shared" si="2"/>
        <v>3845</v>
      </c>
    </row>
    <row r="93" spans="1:12" ht="15.75" x14ac:dyDescent="0.25">
      <c r="A93" s="16" t="s">
        <v>141</v>
      </c>
      <c r="B93" s="15" t="s">
        <v>140</v>
      </c>
      <c r="C93" s="16" t="s">
        <v>55</v>
      </c>
      <c r="D93" s="16" t="s">
        <v>56</v>
      </c>
      <c r="E93" s="16" t="s">
        <v>141</v>
      </c>
      <c r="F93" s="16" t="s">
        <v>86</v>
      </c>
      <c r="G93" s="16" t="s">
        <v>87</v>
      </c>
      <c r="H93" s="26">
        <v>28000</v>
      </c>
      <c r="I93" s="26">
        <v>0</v>
      </c>
      <c r="J93" s="26">
        <v>0</v>
      </c>
      <c r="K93" s="26">
        <v>0</v>
      </c>
      <c r="L93" s="13">
        <f t="shared" si="2"/>
        <v>28000</v>
      </c>
    </row>
    <row r="94" spans="1:12" ht="15.75" x14ac:dyDescent="0.25">
      <c r="A94" s="16" t="s">
        <v>142</v>
      </c>
      <c r="B94" s="15" t="s">
        <v>227</v>
      </c>
      <c r="C94" s="16" t="s">
        <v>55</v>
      </c>
      <c r="D94" s="16" t="s">
        <v>56</v>
      </c>
      <c r="E94" s="16" t="s">
        <v>142</v>
      </c>
      <c r="F94" s="16" t="s">
        <v>86</v>
      </c>
      <c r="G94" s="16" t="s">
        <v>87</v>
      </c>
      <c r="H94" s="26">
        <v>50513</v>
      </c>
      <c r="I94" s="26">
        <v>0</v>
      </c>
      <c r="J94" s="26">
        <v>0</v>
      </c>
      <c r="K94" s="26">
        <v>0</v>
      </c>
      <c r="L94" s="13">
        <f t="shared" si="2"/>
        <v>50513</v>
      </c>
    </row>
    <row r="95" spans="1:12" ht="15.75" x14ac:dyDescent="0.25">
      <c r="A95" s="16" t="s">
        <v>143</v>
      </c>
      <c r="B95" s="15" t="s">
        <v>228</v>
      </c>
      <c r="C95" s="16" t="s">
        <v>55</v>
      </c>
      <c r="D95" s="16" t="s">
        <v>56</v>
      </c>
      <c r="E95" s="16" t="s">
        <v>143</v>
      </c>
      <c r="F95" s="16" t="s">
        <v>86</v>
      </c>
      <c r="G95" s="16" t="s">
        <v>87</v>
      </c>
      <c r="H95" s="26">
        <v>0</v>
      </c>
      <c r="I95" s="26">
        <v>71384</v>
      </c>
      <c r="J95" s="26">
        <v>0</v>
      </c>
      <c r="K95" s="26">
        <v>0</v>
      </c>
      <c r="L95" s="13">
        <f t="shared" si="2"/>
        <v>71384</v>
      </c>
    </row>
    <row r="96" spans="1:12" ht="15.75" x14ac:dyDescent="0.25">
      <c r="A96" s="16" t="s">
        <v>144</v>
      </c>
      <c r="B96" s="15" t="s">
        <v>229</v>
      </c>
      <c r="C96" s="16" t="s">
        <v>55</v>
      </c>
      <c r="D96" s="16" t="s">
        <v>56</v>
      </c>
      <c r="E96" s="16" t="s">
        <v>144</v>
      </c>
      <c r="F96" s="16" t="s">
        <v>86</v>
      </c>
      <c r="G96" s="16" t="s">
        <v>87</v>
      </c>
      <c r="H96" s="26">
        <v>6847</v>
      </c>
      <c r="I96" s="26">
        <v>0</v>
      </c>
      <c r="J96" s="26">
        <v>0</v>
      </c>
      <c r="K96" s="26">
        <v>0</v>
      </c>
      <c r="L96" s="13">
        <f t="shared" si="2"/>
        <v>6847</v>
      </c>
    </row>
    <row r="97" spans="1:12" ht="15.75" x14ac:dyDescent="0.25">
      <c r="A97" s="16" t="s">
        <v>372</v>
      </c>
      <c r="B97" s="15" t="s">
        <v>371</v>
      </c>
      <c r="C97" s="16" t="s">
        <v>55</v>
      </c>
      <c r="D97" s="16" t="s">
        <v>56</v>
      </c>
      <c r="E97" s="16" t="s">
        <v>372</v>
      </c>
      <c r="F97" s="16" t="s">
        <v>86</v>
      </c>
      <c r="G97" s="16" t="s">
        <v>87</v>
      </c>
      <c r="H97" s="26">
        <v>4466</v>
      </c>
      <c r="I97" s="26">
        <v>0</v>
      </c>
      <c r="J97" s="26">
        <v>0</v>
      </c>
      <c r="K97" s="26">
        <v>0</v>
      </c>
      <c r="L97" s="13">
        <f t="shared" si="2"/>
        <v>4466</v>
      </c>
    </row>
    <row r="98" spans="1:12" ht="15.75" x14ac:dyDescent="0.25">
      <c r="A98" s="16" t="s">
        <v>273</v>
      </c>
      <c r="B98" s="15" t="s">
        <v>272</v>
      </c>
      <c r="C98" s="16" t="s">
        <v>55</v>
      </c>
      <c r="D98" s="16" t="s">
        <v>56</v>
      </c>
      <c r="E98" s="16" t="s">
        <v>273</v>
      </c>
      <c r="F98" s="16" t="s">
        <v>86</v>
      </c>
      <c r="G98" s="16" t="s">
        <v>87</v>
      </c>
      <c r="H98" s="26">
        <v>970</v>
      </c>
      <c r="I98" s="26">
        <v>0</v>
      </c>
      <c r="J98" s="26">
        <v>0</v>
      </c>
      <c r="K98" s="26">
        <v>0</v>
      </c>
      <c r="L98" s="13">
        <f t="shared" ref="L98:L129" si="3">SUM(H98:K98)</f>
        <v>970</v>
      </c>
    </row>
    <row r="99" spans="1:12" ht="15.75" x14ac:dyDescent="0.25">
      <c r="A99" s="16" t="s">
        <v>374</v>
      </c>
      <c r="B99" s="15" t="s">
        <v>373</v>
      </c>
      <c r="C99" s="16" t="s">
        <v>55</v>
      </c>
      <c r="D99" s="16" t="s">
        <v>57</v>
      </c>
      <c r="E99" s="16" t="s">
        <v>374</v>
      </c>
      <c r="F99" s="16" t="s">
        <v>86</v>
      </c>
      <c r="G99" s="16" t="s">
        <v>87</v>
      </c>
      <c r="H99" s="26">
        <v>0</v>
      </c>
      <c r="I99" s="26">
        <v>0</v>
      </c>
      <c r="J99" s="26">
        <v>4072</v>
      </c>
      <c r="K99" s="26">
        <v>0</v>
      </c>
      <c r="L99" s="13">
        <f t="shared" si="3"/>
        <v>4072</v>
      </c>
    </row>
    <row r="100" spans="1:12" ht="15.75" x14ac:dyDescent="0.25">
      <c r="A100" s="16" t="s">
        <v>76</v>
      </c>
      <c r="B100" s="15" t="s">
        <v>102</v>
      </c>
      <c r="C100" s="16" t="s">
        <v>55</v>
      </c>
      <c r="D100" s="16" t="s">
        <v>56</v>
      </c>
      <c r="E100" s="16" t="s">
        <v>76</v>
      </c>
      <c r="F100" s="16" t="s">
        <v>86</v>
      </c>
      <c r="G100" s="16" t="s">
        <v>87</v>
      </c>
      <c r="H100" s="26">
        <v>8482</v>
      </c>
      <c r="I100" s="26">
        <v>4790</v>
      </c>
      <c r="J100" s="26">
        <v>0</v>
      </c>
      <c r="K100" s="26">
        <v>0</v>
      </c>
      <c r="L100" s="13">
        <f t="shared" si="3"/>
        <v>13272</v>
      </c>
    </row>
    <row r="101" spans="1:12" ht="15.75" x14ac:dyDescent="0.25">
      <c r="A101" s="16" t="s">
        <v>318</v>
      </c>
      <c r="B101" s="15" t="s">
        <v>317</v>
      </c>
      <c r="C101" s="16" t="s">
        <v>55</v>
      </c>
      <c r="D101" s="16" t="s">
        <v>57</v>
      </c>
      <c r="E101" s="16" t="s">
        <v>318</v>
      </c>
      <c r="F101" s="16" t="s">
        <v>86</v>
      </c>
      <c r="G101" s="16" t="s">
        <v>87</v>
      </c>
      <c r="H101" s="26">
        <v>0</v>
      </c>
      <c r="I101" s="26">
        <v>0</v>
      </c>
      <c r="J101" s="26">
        <v>1898</v>
      </c>
      <c r="K101" s="26">
        <v>0</v>
      </c>
      <c r="L101" s="13">
        <f t="shared" si="3"/>
        <v>1898</v>
      </c>
    </row>
    <row r="102" spans="1:12" ht="15.75" x14ac:dyDescent="0.25">
      <c r="A102" s="16" t="s">
        <v>320</v>
      </c>
      <c r="B102" s="15" t="s">
        <v>319</v>
      </c>
      <c r="C102" s="16" t="s">
        <v>55</v>
      </c>
      <c r="D102" s="16" t="s">
        <v>57</v>
      </c>
      <c r="E102" s="16" t="s">
        <v>320</v>
      </c>
      <c r="F102" s="16" t="s">
        <v>86</v>
      </c>
      <c r="G102" s="16" t="s">
        <v>87</v>
      </c>
      <c r="H102" s="26">
        <v>0</v>
      </c>
      <c r="I102" s="26">
        <v>0</v>
      </c>
      <c r="J102" s="26">
        <v>12205</v>
      </c>
      <c r="K102" s="26">
        <v>0</v>
      </c>
      <c r="L102" s="13">
        <f t="shared" si="3"/>
        <v>12205</v>
      </c>
    </row>
    <row r="103" spans="1:12" ht="15.75" x14ac:dyDescent="0.25">
      <c r="A103" s="16" t="s">
        <v>145</v>
      </c>
      <c r="B103" s="15" t="s">
        <v>230</v>
      </c>
      <c r="C103" s="16" t="s">
        <v>55</v>
      </c>
      <c r="D103" s="16" t="s">
        <v>56</v>
      </c>
      <c r="E103" s="16" t="s">
        <v>145</v>
      </c>
      <c r="F103" s="16" t="s">
        <v>86</v>
      </c>
      <c r="G103" s="16" t="s">
        <v>87</v>
      </c>
      <c r="H103" s="26">
        <v>9747</v>
      </c>
      <c r="I103" s="26">
        <v>0</v>
      </c>
      <c r="J103" s="26">
        <v>0</v>
      </c>
      <c r="K103" s="26">
        <v>0</v>
      </c>
      <c r="L103" s="13">
        <f t="shared" si="3"/>
        <v>9747</v>
      </c>
    </row>
    <row r="104" spans="1:12" ht="15.75" x14ac:dyDescent="0.25">
      <c r="A104" s="16" t="s">
        <v>376</v>
      </c>
      <c r="B104" s="15" t="s">
        <v>375</v>
      </c>
      <c r="C104" s="16" t="s">
        <v>55</v>
      </c>
      <c r="D104" s="16" t="s">
        <v>56</v>
      </c>
      <c r="E104" s="16" t="s">
        <v>376</v>
      </c>
      <c r="F104" s="16" t="s">
        <v>86</v>
      </c>
      <c r="G104" s="16" t="s">
        <v>87</v>
      </c>
      <c r="H104" s="26">
        <v>0</v>
      </c>
      <c r="I104" s="26">
        <v>0</v>
      </c>
      <c r="J104" s="26">
        <v>70000</v>
      </c>
      <c r="K104" s="26">
        <v>0</v>
      </c>
      <c r="L104" s="13">
        <f t="shared" si="3"/>
        <v>70000</v>
      </c>
    </row>
    <row r="105" spans="1:12" ht="15.75" x14ac:dyDescent="0.25">
      <c r="A105" s="16" t="s">
        <v>378</v>
      </c>
      <c r="B105" s="15" t="s">
        <v>377</v>
      </c>
      <c r="C105" s="16" t="s">
        <v>55</v>
      </c>
      <c r="D105" s="16" t="s">
        <v>56</v>
      </c>
      <c r="E105" s="16" t="s">
        <v>378</v>
      </c>
      <c r="F105" s="16" t="s">
        <v>86</v>
      </c>
      <c r="G105" s="16" t="s">
        <v>87</v>
      </c>
      <c r="H105" s="26">
        <v>1579</v>
      </c>
      <c r="I105" s="26">
        <v>0</v>
      </c>
      <c r="J105" s="26">
        <v>0</v>
      </c>
      <c r="K105" s="26">
        <v>0</v>
      </c>
      <c r="L105" s="13">
        <f t="shared" si="3"/>
        <v>1579</v>
      </c>
    </row>
    <row r="106" spans="1:12" ht="15.75" x14ac:dyDescent="0.25">
      <c r="A106" s="16" t="s">
        <v>146</v>
      </c>
      <c r="B106" s="15" t="s">
        <v>231</v>
      </c>
      <c r="C106" s="16" t="s">
        <v>55</v>
      </c>
      <c r="D106" s="16" t="s">
        <v>56</v>
      </c>
      <c r="E106" s="16" t="s">
        <v>146</v>
      </c>
      <c r="F106" s="16" t="s">
        <v>86</v>
      </c>
      <c r="G106" s="16" t="s">
        <v>87</v>
      </c>
      <c r="H106" s="26">
        <v>0</v>
      </c>
      <c r="I106" s="26">
        <v>6272</v>
      </c>
      <c r="J106" s="26">
        <v>0</v>
      </c>
      <c r="K106" s="26">
        <v>0</v>
      </c>
      <c r="L106" s="13">
        <f t="shared" si="3"/>
        <v>6272</v>
      </c>
    </row>
    <row r="107" spans="1:12" ht="15.75" x14ac:dyDescent="0.25">
      <c r="A107" s="16" t="s">
        <v>177</v>
      </c>
      <c r="B107" s="15" t="s">
        <v>232</v>
      </c>
      <c r="C107" s="16" t="s">
        <v>55</v>
      </c>
      <c r="D107" s="16" t="s">
        <v>56</v>
      </c>
      <c r="E107" s="16" t="s">
        <v>177</v>
      </c>
      <c r="F107" s="16" t="s">
        <v>86</v>
      </c>
      <c r="G107" s="16" t="s">
        <v>87</v>
      </c>
      <c r="H107" s="26">
        <v>0</v>
      </c>
      <c r="I107" s="26">
        <v>22050</v>
      </c>
      <c r="J107" s="26">
        <v>0</v>
      </c>
      <c r="K107" s="26">
        <v>0</v>
      </c>
      <c r="L107" s="13">
        <f t="shared" si="3"/>
        <v>22050</v>
      </c>
    </row>
    <row r="108" spans="1:12" ht="15.75" x14ac:dyDescent="0.25">
      <c r="A108" s="16" t="s">
        <v>147</v>
      </c>
      <c r="B108" s="15" t="s">
        <v>233</v>
      </c>
      <c r="C108" s="16" t="s">
        <v>55</v>
      </c>
      <c r="D108" s="16" t="s">
        <v>56</v>
      </c>
      <c r="E108" s="16" t="s">
        <v>147</v>
      </c>
      <c r="F108" s="16" t="s">
        <v>86</v>
      </c>
      <c r="G108" s="16" t="s">
        <v>87</v>
      </c>
      <c r="H108" s="26">
        <v>10748</v>
      </c>
      <c r="I108" s="26">
        <v>0</v>
      </c>
      <c r="J108" s="26">
        <v>0</v>
      </c>
      <c r="K108" s="26">
        <v>0</v>
      </c>
      <c r="L108" s="13">
        <f t="shared" si="3"/>
        <v>10748</v>
      </c>
    </row>
    <row r="109" spans="1:12" ht="15.75" x14ac:dyDescent="0.25">
      <c r="A109" s="16" t="s">
        <v>380</v>
      </c>
      <c r="B109" s="15" t="s">
        <v>379</v>
      </c>
      <c r="C109" s="16" t="s">
        <v>55</v>
      </c>
      <c r="D109" s="16" t="s">
        <v>56</v>
      </c>
      <c r="E109" s="16" t="s">
        <v>380</v>
      </c>
      <c r="F109" s="16" t="s">
        <v>86</v>
      </c>
      <c r="G109" s="16" t="s">
        <v>87</v>
      </c>
      <c r="H109" s="26">
        <v>862</v>
      </c>
      <c r="I109" s="26">
        <v>0</v>
      </c>
      <c r="J109" s="26">
        <v>0</v>
      </c>
      <c r="K109" s="26">
        <v>0</v>
      </c>
      <c r="L109" s="13">
        <f t="shared" si="3"/>
        <v>862</v>
      </c>
    </row>
    <row r="110" spans="1:12" ht="15.75" x14ac:dyDescent="0.25">
      <c r="A110" s="16" t="s">
        <v>382</v>
      </c>
      <c r="B110" s="15" t="s">
        <v>381</v>
      </c>
      <c r="C110" s="16" t="s">
        <v>55</v>
      </c>
      <c r="D110" s="16" t="s">
        <v>56</v>
      </c>
      <c r="E110" s="16" t="s">
        <v>382</v>
      </c>
      <c r="F110" s="16" t="s">
        <v>86</v>
      </c>
      <c r="G110" s="16" t="s">
        <v>87</v>
      </c>
      <c r="H110" s="26">
        <v>12380</v>
      </c>
      <c r="I110" s="26">
        <v>0</v>
      </c>
      <c r="J110" s="26">
        <v>0</v>
      </c>
      <c r="K110" s="26">
        <v>0</v>
      </c>
      <c r="L110" s="13">
        <f t="shared" si="3"/>
        <v>12380</v>
      </c>
    </row>
    <row r="111" spans="1:12" ht="15.75" x14ac:dyDescent="0.25">
      <c r="A111" s="16" t="s">
        <v>148</v>
      </c>
      <c r="B111" s="15" t="s">
        <v>234</v>
      </c>
      <c r="C111" s="16" t="s">
        <v>55</v>
      </c>
      <c r="D111" s="16" t="s">
        <v>58</v>
      </c>
      <c r="E111" s="16" t="s">
        <v>148</v>
      </c>
      <c r="F111" s="16" t="s">
        <v>86</v>
      </c>
      <c r="G111" s="16" t="s">
        <v>87</v>
      </c>
      <c r="H111" s="26">
        <v>402457</v>
      </c>
      <c r="I111" s="26">
        <v>0</v>
      </c>
      <c r="J111" s="26">
        <v>0</v>
      </c>
      <c r="K111" s="26">
        <v>0</v>
      </c>
      <c r="L111" s="13">
        <f t="shared" si="3"/>
        <v>402457</v>
      </c>
    </row>
    <row r="112" spans="1:12" ht="15.75" x14ac:dyDescent="0.25">
      <c r="A112" s="16" t="s">
        <v>322</v>
      </c>
      <c r="B112" s="15" t="s">
        <v>321</v>
      </c>
      <c r="C112" s="16" t="s">
        <v>55</v>
      </c>
      <c r="D112" s="16" t="s">
        <v>57</v>
      </c>
      <c r="E112" s="16" t="s">
        <v>322</v>
      </c>
      <c r="F112" s="16" t="s">
        <v>86</v>
      </c>
      <c r="G112" s="16" t="s">
        <v>87</v>
      </c>
      <c r="H112" s="26">
        <v>175000</v>
      </c>
      <c r="I112" s="26">
        <v>0</v>
      </c>
      <c r="J112" s="26">
        <v>0</v>
      </c>
      <c r="K112" s="26">
        <v>18667</v>
      </c>
      <c r="L112" s="13">
        <f t="shared" si="3"/>
        <v>193667</v>
      </c>
    </row>
    <row r="113" spans="1:12" ht="15.75" x14ac:dyDescent="0.25">
      <c r="A113" s="16" t="s">
        <v>149</v>
      </c>
      <c r="B113" s="15" t="s">
        <v>235</v>
      </c>
      <c r="C113" s="16" t="s">
        <v>55</v>
      </c>
      <c r="D113" s="16" t="s">
        <v>56</v>
      </c>
      <c r="E113" s="16" t="s">
        <v>149</v>
      </c>
      <c r="F113" s="16" t="s">
        <v>86</v>
      </c>
      <c r="G113" s="16" t="s">
        <v>87</v>
      </c>
      <c r="H113" s="26">
        <v>2646</v>
      </c>
      <c r="I113" s="26">
        <v>0</v>
      </c>
      <c r="J113" s="26">
        <v>0</v>
      </c>
      <c r="K113" s="26">
        <v>0</v>
      </c>
      <c r="L113" s="13">
        <f t="shared" si="3"/>
        <v>2646</v>
      </c>
    </row>
    <row r="114" spans="1:12" ht="15.75" x14ac:dyDescent="0.25">
      <c r="A114" s="16" t="s">
        <v>78</v>
      </c>
      <c r="B114" s="15" t="s">
        <v>236</v>
      </c>
      <c r="C114" s="16" t="s">
        <v>55</v>
      </c>
      <c r="D114" s="16" t="s">
        <v>56</v>
      </c>
      <c r="E114" s="16" t="s">
        <v>78</v>
      </c>
      <c r="F114" s="16" t="s">
        <v>86</v>
      </c>
      <c r="G114" s="16" t="s">
        <v>87</v>
      </c>
      <c r="H114" s="26">
        <v>0</v>
      </c>
      <c r="I114" s="26">
        <v>1644065</v>
      </c>
      <c r="J114" s="26">
        <v>0</v>
      </c>
      <c r="K114" s="26">
        <v>0</v>
      </c>
      <c r="L114" s="13">
        <f t="shared" si="3"/>
        <v>1644065</v>
      </c>
    </row>
    <row r="115" spans="1:12" ht="15.75" x14ac:dyDescent="0.25">
      <c r="A115" s="16" t="s">
        <v>384</v>
      </c>
      <c r="B115" s="15" t="s">
        <v>383</v>
      </c>
      <c r="C115" s="16" t="s">
        <v>55</v>
      </c>
      <c r="D115" s="16" t="s">
        <v>57</v>
      </c>
      <c r="E115" s="16" t="s">
        <v>384</v>
      </c>
      <c r="F115" s="16" t="s">
        <v>86</v>
      </c>
      <c r="G115" s="16" t="s">
        <v>87</v>
      </c>
      <c r="H115" s="26">
        <v>0</v>
      </c>
      <c r="I115" s="26">
        <v>0</v>
      </c>
      <c r="J115" s="26">
        <v>725</v>
      </c>
      <c r="K115" s="26">
        <v>0</v>
      </c>
      <c r="L115" s="13">
        <f t="shared" si="3"/>
        <v>725</v>
      </c>
    </row>
    <row r="116" spans="1:12" ht="15.75" x14ac:dyDescent="0.25">
      <c r="A116" s="16" t="s">
        <v>79</v>
      </c>
      <c r="B116" s="15" t="s">
        <v>104</v>
      </c>
      <c r="C116" s="16" t="s">
        <v>55</v>
      </c>
      <c r="D116" s="16" t="s">
        <v>56</v>
      </c>
      <c r="E116" s="16" t="s">
        <v>79</v>
      </c>
      <c r="F116" s="16" t="s">
        <v>86</v>
      </c>
      <c r="G116" s="16" t="s">
        <v>87</v>
      </c>
      <c r="H116" s="26">
        <v>0</v>
      </c>
      <c r="I116" s="26">
        <v>30843</v>
      </c>
      <c r="J116" s="26">
        <v>31680</v>
      </c>
      <c r="K116" s="26">
        <v>0</v>
      </c>
      <c r="L116" s="13">
        <f t="shared" si="3"/>
        <v>62523</v>
      </c>
    </row>
    <row r="117" spans="1:12" ht="15.75" x14ac:dyDescent="0.25">
      <c r="A117" s="16" t="s">
        <v>150</v>
      </c>
      <c r="B117" s="15" t="s">
        <v>237</v>
      </c>
      <c r="C117" s="16" t="s">
        <v>55</v>
      </c>
      <c r="D117" s="16" t="s">
        <v>56</v>
      </c>
      <c r="E117" s="16" t="s">
        <v>150</v>
      </c>
      <c r="F117" s="16" t="s">
        <v>86</v>
      </c>
      <c r="G117" s="16" t="s">
        <v>87</v>
      </c>
      <c r="H117" s="26">
        <v>0</v>
      </c>
      <c r="I117" s="26">
        <v>0</v>
      </c>
      <c r="J117" s="26">
        <v>42815</v>
      </c>
      <c r="K117" s="26">
        <v>0</v>
      </c>
      <c r="L117" s="13">
        <f t="shared" si="3"/>
        <v>42815</v>
      </c>
    </row>
    <row r="118" spans="1:12" ht="15.75" x14ac:dyDescent="0.25">
      <c r="A118" s="16" t="s">
        <v>174</v>
      </c>
      <c r="B118" s="15" t="s">
        <v>238</v>
      </c>
      <c r="C118" s="16" t="s">
        <v>55</v>
      </c>
      <c r="D118" s="16" t="s">
        <v>56</v>
      </c>
      <c r="E118" s="16" t="s">
        <v>174</v>
      </c>
      <c r="F118" s="16" t="s">
        <v>86</v>
      </c>
      <c r="G118" s="16" t="s">
        <v>87</v>
      </c>
      <c r="H118" s="26">
        <v>2420</v>
      </c>
      <c r="I118" s="26">
        <v>0</v>
      </c>
      <c r="J118" s="26">
        <v>0</v>
      </c>
      <c r="K118" s="26">
        <v>0</v>
      </c>
      <c r="L118" s="13">
        <f t="shared" si="3"/>
        <v>2420</v>
      </c>
    </row>
    <row r="119" spans="1:12" ht="15.75" x14ac:dyDescent="0.25">
      <c r="A119" s="16" t="s">
        <v>165</v>
      </c>
      <c r="B119" s="15" t="s">
        <v>168</v>
      </c>
      <c r="C119" s="16" t="s">
        <v>55</v>
      </c>
      <c r="D119" s="16" t="s">
        <v>56</v>
      </c>
      <c r="E119" s="16" t="s">
        <v>165</v>
      </c>
      <c r="F119" s="16" t="s">
        <v>86</v>
      </c>
      <c r="G119" s="16" t="s">
        <v>87</v>
      </c>
      <c r="H119" s="26">
        <v>0</v>
      </c>
      <c r="I119" s="26">
        <v>262005</v>
      </c>
      <c r="J119" s="26">
        <v>0</v>
      </c>
      <c r="K119" s="26">
        <v>0</v>
      </c>
      <c r="L119" s="13">
        <f t="shared" si="3"/>
        <v>262005</v>
      </c>
    </row>
    <row r="120" spans="1:12" ht="15.75" x14ac:dyDescent="0.25">
      <c r="A120" s="16" t="s">
        <v>151</v>
      </c>
      <c r="B120" s="15" t="s">
        <v>239</v>
      </c>
      <c r="C120" s="16" t="s">
        <v>55</v>
      </c>
      <c r="D120" s="16" t="s">
        <v>56</v>
      </c>
      <c r="E120" s="16" t="s">
        <v>151</v>
      </c>
      <c r="F120" s="16" t="s">
        <v>86</v>
      </c>
      <c r="G120" s="16" t="s">
        <v>87</v>
      </c>
      <c r="H120" s="26">
        <v>1958</v>
      </c>
      <c r="I120" s="26">
        <v>0</v>
      </c>
      <c r="J120" s="26">
        <v>0</v>
      </c>
      <c r="K120" s="26">
        <v>0</v>
      </c>
      <c r="L120" s="13">
        <f t="shared" si="3"/>
        <v>1958</v>
      </c>
    </row>
    <row r="121" spans="1:12" ht="15.75" x14ac:dyDescent="0.25">
      <c r="A121" s="16" t="s">
        <v>152</v>
      </c>
      <c r="B121" s="15" t="s">
        <v>240</v>
      </c>
      <c r="C121" s="16" t="s">
        <v>55</v>
      </c>
      <c r="D121" s="16" t="s">
        <v>56</v>
      </c>
      <c r="E121" s="16" t="s">
        <v>152</v>
      </c>
      <c r="F121" s="16" t="s">
        <v>86</v>
      </c>
      <c r="G121" s="16" t="s">
        <v>87</v>
      </c>
      <c r="H121" s="26">
        <v>1552</v>
      </c>
      <c r="I121" s="26">
        <v>0</v>
      </c>
      <c r="J121" s="26">
        <v>0</v>
      </c>
      <c r="K121" s="26">
        <v>0</v>
      </c>
      <c r="L121" s="13">
        <f t="shared" si="3"/>
        <v>1552</v>
      </c>
    </row>
    <row r="122" spans="1:12" ht="15.75" x14ac:dyDescent="0.25">
      <c r="A122" s="16" t="s">
        <v>154</v>
      </c>
      <c r="B122" s="15" t="s">
        <v>153</v>
      </c>
      <c r="C122" s="16" t="s">
        <v>55</v>
      </c>
      <c r="D122" s="16" t="s">
        <v>56</v>
      </c>
      <c r="E122" s="16" t="s">
        <v>154</v>
      </c>
      <c r="F122" s="16" t="s">
        <v>86</v>
      </c>
      <c r="G122" s="16" t="s">
        <v>87</v>
      </c>
      <c r="H122" s="26">
        <v>7450</v>
      </c>
      <c r="I122" s="26">
        <v>0</v>
      </c>
      <c r="J122" s="26">
        <v>0</v>
      </c>
      <c r="K122" s="26">
        <v>0</v>
      </c>
      <c r="L122" s="13">
        <f t="shared" si="3"/>
        <v>7450</v>
      </c>
    </row>
    <row r="123" spans="1:12" ht="15.75" x14ac:dyDescent="0.25">
      <c r="A123" s="16" t="s">
        <v>386</v>
      </c>
      <c r="B123" s="15" t="s">
        <v>385</v>
      </c>
      <c r="C123" s="16" t="s">
        <v>55</v>
      </c>
      <c r="D123" s="16" t="s">
        <v>57</v>
      </c>
      <c r="E123" s="16" t="s">
        <v>386</v>
      </c>
      <c r="F123" s="16" t="s">
        <v>86</v>
      </c>
      <c r="G123" s="16" t="s">
        <v>87</v>
      </c>
      <c r="H123" s="26">
        <v>0</v>
      </c>
      <c r="I123" s="26">
        <v>0</v>
      </c>
      <c r="J123" s="26">
        <v>1351</v>
      </c>
      <c r="K123" s="26">
        <v>0</v>
      </c>
      <c r="L123" s="13">
        <f t="shared" si="3"/>
        <v>1351</v>
      </c>
    </row>
    <row r="124" spans="1:12" ht="15.75" x14ac:dyDescent="0.25">
      <c r="A124" s="16" t="s">
        <v>155</v>
      </c>
      <c r="B124" s="15" t="s">
        <v>241</v>
      </c>
      <c r="C124" s="16" t="s">
        <v>55</v>
      </c>
      <c r="D124" s="16" t="s">
        <v>56</v>
      </c>
      <c r="E124" s="16" t="s">
        <v>155</v>
      </c>
      <c r="F124" s="16" t="s">
        <v>86</v>
      </c>
      <c r="G124" s="16" t="s">
        <v>87</v>
      </c>
      <c r="H124" s="26">
        <v>6274</v>
      </c>
      <c r="I124" s="26">
        <v>0</v>
      </c>
      <c r="J124" s="26">
        <v>0</v>
      </c>
      <c r="K124" s="26">
        <v>0</v>
      </c>
      <c r="L124" s="13">
        <f t="shared" si="3"/>
        <v>6274</v>
      </c>
    </row>
    <row r="125" spans="1:12" ht="15.75" x14ac:dyDescent="0.25">
      <c r="A125" s="16" t="s">
        <v>178</v>
      </c>
      <c r="B125" s="15" t="s">
        <v>242</v>
      </c>
      <c r="C125" s="16" t="s">
        <v>55</v>
      </c>
      <c r="D125" s="16" t="s">
        <v>56</v>
      </c>
      <c r="E125" s="16" t="s">
        <v>178</v>
      </c>
      <c r="F125" s="16" t="s">
        <v>86</v>
      </c>
      <c r="G125" s="16" t="s">
        <v>87</v>
      </c>
      <c r="H125" s="26">
        <v>10504</v>
      </c>
      <c r="I125" s="26">
        <v>0</v>
      </c>
      <c r="J125" s="26">
        <v>0</v>
      </c>
      <c r="K125" s="26">
        <v>0</v>
      </c>
      <c r="L125" s="13">
        <f t="shared" si="3"/>
        <v>10504</v>
      </c>
    </row>
    <row r="126" spans="1:12" ht="15.75" x14ac:dyDescent="0.25">
      <c r="A126" s="16" t="s">
        <v>156</v>
      </c>
      <c r="B126" s="15" t="s">
        <v>243</v>
      </c>
      <c r="C126" s="16" t="s">
        <v>55</v>
      </c>
      <c r="D126" s="16" t="s">
        <v>56</v>
      </c>
      <c r="E126" s="16" t="s">
        <v>156</v>
      </c>
      <c r="F126" s="16" t="s">
        <v>86</v>
      </c>
      <c r="G126" s="16" t="s">
        <v>87</v>
      </c>
      <c r="H126" s="26">
        <v>344</v>
      </c>
      <c r="I126" s="26">
        <v>0</v>
      </c>
      <c r="J126" s="26">
        <v>0</v>
      </c>
      <c r="K126" s="26">
        <v>0</v>
      </c>
      <c r="L126" s="13">
        <f t="shared" si="3"/>
        <v>344</v>
      </c>
    </row>
    <row r="127" spans="1:12" ht="15.75" x14ac:dyDescent="0.25">
      <c r="A127" s="16" t="s">
        <v>245</v>
      </c>
      <c r="B127" s="15" t="s">
        <v>244</v>
      </c>
      <c r="C127" s="16" t="s">
        <v>55</v>
      </c>
      <c r="D127" s="16" t="s">
        <v>56</v>
      </c>
      <c r="E127" s="16" t="s">
        <v>245</v>
      </c>
      <c r="F127" s="16" t="s">
        <v>86</v>
      </c>
      <c r="G127" s="16" t="s">
        <v>87</v>
      </c>
      <c r="H127" s="26">
        <v>160</v>
      </c>
      <c r="I127" s="26">
        <v>0</v>
      </c>
      <c r="J127" s="26">
        <v>0</v>
      </c>
      <c r="K127" s="26">
        <v>0</v>
      </c>
      <c r="L127" s="13">
        <f t="shared" si="3"/>
        <v>160</v>
      </c>
    </row>
    <row r="128" spans="1:12" ht="15.75" x14ac:dyDescent="0.25">
      <c r="A128" s="16" t="s">
        <v>157</v>
      </c>
      <c r="B128" s="15" t="s">
        <v>246</v>
      </c>
      <c r="C128" s="16" t="s">
        <v>55</v>
      </c>
      <c r="D128" s="16" t="s">
        <v>56</v>
      </c>
      <c r="E128" s="16" t="s">
        <v>157</v>
      </c>
      <c r="F128" s="16" t="s">
        <v>86</v>
      </c>
      <c r="G128" s="16" t="s">
        <v>87</v>
      </c>
      <c r="H128" s="26">
        <v>1976</v>
      </c>
      <c r="I128" s="26">
        <v>0</v>
      </c>
      <c r="J128" s="26">
        <v>0</v>
      </c>
      <c r="K128" s="26">
        <v>0</v>
      </c>
      <c r="L128" s="13">
        <f t="shared" si="3"/>
        <v>1976</v>
      </c>
    </row>
    <row r="129" spans="1:12" ht="15.75" x14ac:dyDescent="0.25">
      <c r="A129" s="16" t="s">
        <v>158</v>
      </c>
      <c r="B129" s="15" t="s">
        <v>247</v>
      </c>
      <c r="C129" s="16" t="s">
        <v>55</v>
      </c>
      <c r="D129" s="16" t="s">
        <v>56</v>
      </c>
      <c r="E129" s="16" t="s">
        <v>158</v>
      </c>
      <c r="F129" s="16" t="s">
        <v>86</v>
      </c>
      <c r="G129" s="16" t="s">
        <v>87</v>
      </c>
      <c r="H129" s="26">
        <v>118560</v>
      </c>
      <c r="I129" s="26">
        <v>0</v>
      </c>
      <c r="J129" s="26">
        <v>0</v>
      </c>
      <c r="K129" s="26">
        <v>0</v>
      </c>
      <c r="L129" s="13">
        <f t="shared" si="3"/>
        <v>118560</v>
      </c>
    </row>
    <row r="130" spans="1:12" ht="15.75" x14ac:dyDescent="0.25">
      <c r="A130" s="16" t="s">
        <v>388</v>
      </c>
      <c r="B130" s="15" t="s">
        <v>387</v>
      </c>
      <c r="C130" s="16" t="s">
        <v>55</v>
      </c>
      <c r="D130" s="16" t="s">
        <v>56</v>
      </c>
      <c r="E130" s="16" t="s">
        <v>388</v>
      </c>
      <c r="F130" s="16" t="s">
        <v>86</v>
      </c>
      <c r="G130" s="16" t="s">
        <v>87</v>
      </c>
      <c r="H130" s="26">
        <v>800</v>
      </c>
      <c r="I130" s="26">
        <v>0</v>
      </c>
      <c r="J130" s="26">
        <v>0</v>
      </c>
      <c r="K130" s="26">
        <v>0</v>
      </c>
      <c r="L130" s="13">
        <f t="shared" ref="L130:L161" si="4">SUM(H130:K130)</f>
        <v>800</v>
      </c>
    </row>
    <row r="131" spans="1:12" ht="15.75" x14ac:dyDescent="0.25">
      <c r="A131" s="16" t="s">
        <v>159</v>
      </c>
      <c r="B131" s="15" t="s">
        <v>248</v>
      </c>
      <c r="C131" s="16" t="s">
        <v>55</v>
      </c>
      <c r="D131" s="16" t="s">
        <v>57</v>
      </c>
      <c r="E131" s="16" t="s">
        <v>159</v>
      </c>
      <c r="F131" s="16" t="s">
        <v>86</v>
      </c>
      <c r="G131" s="16" t="s">
        <v>87</v>
      </c>
      <c r="H131" s="26">
        <v>8070</v>
      </c>
      <c r="I131" s="26">
        <v>0</v>
      </c>
      <c r="J131" s="26">
        <v>0</v>
      </c>
      <c r="K131" s="26">
        <v>861</v>
      </c>
      <c r="L131" s="13">
        <f t="shared" si="4"/>
        <v>8931</v>
      </c>
    </row>
    <row r="132" spans="1:12" ht="15.75" x14ac:dyDescent="0.25">
      <c r="A132" s="16" t="s">
        <v>160</v>
      </c>
      <c r="B132" s="15" t="s">
        <v>249</v>
      </c>
      <c r="C132" s="16" t="s">
        <v>55</v>
      </c>
      <c r="D132" s="16" t="s">
        <v>56</v>
      </c>
      <c r="E132" s="16" t="s">
        <v>160</v>
      </c>
      <c r="F132" s="16" t="s">
        <v>86</v>
      </c>
      <c r="G132" s="16" t="s">
        <v>87</v>
      </c>
      <c r="H132" s="26">
        <v>13000</v>
      </c>
      <c r="I132" s="26">
        <v>0</v>
      </c>
      <c r="J132" s="26">
        <v>0</v>
      </c>
      <c r="K132" s="26">
        <v>0</v>
      </c>
      <c r="L132" s="13">
        <f t="shared" si="4"/>
        <v>13000</v>
      </c>
    </row>
    <row r="133" spans="1:12" ht="15.75" x14ac:dyDescent="0.25">
      <c r="A133" s="16" t="s">
        <v>275</v>
      </c>
      <c r="B133" s="37" t="s">
        <v>274</v>
      </c>
      <c r="C133" s="16" t="s">
        <v>55</v>
      </c>
      <c r="D133" s="16" t="s">
        <v>56</v>
      </c>
      <c r="E133" s="16" t="s">
        <v>275</v>
      </c>
      <c r="F133" s="16" t="s">
        <v>86</v>
      </c>
      <c r="G133" s="16" t="s">
        <v>87</v>
      </c>
      <c r="H133" s="26">
        <v>259</v>
      </c>
      <c r="I133" s="26">
        <v>4398</v>
      </c>
      <c r="J133" s="26">
        <v>0</v>
      </c>
      <c r="K133" s="26">
        <v>0</v>
      </c>
      <c r="L133" s="13">
        <f t="shared" si="4"/>
        <v>4657</v>
      </c>
    </row>
    <row r="134" spans="1:12" ht="15.75" x14ac:dyDescent="0.25">
      <c r="A134" s="16" t="s">
        <v>59</v>
      </c>
      <c r="B134" s="37" t="s">
        <v>88</v>
      </c>
      <c r="C134" s="16" t="s">
        <v>55</v>
      </c>
      <c r="D134" s="16" t="s">
        <v>56</v>
      </c>
      <c r="E134" s="16" t="s">
        <v>59</v>
      </c>
      <c r="F134" s="16" t="s">
        <v>86</v>
      </c>
      <c r="G134" s="16" t="s">
        <v>87</v>
      </c>
      <c r="H134" s="26">
        <v>59765</v>
      </c>
      <c r="I134" s="26">
        <v>0</v>
      </c>
      <c r="J134" s="26">
        <v>0</v>
      </c>
      <c r="K134" s="26">
        <v>0</v>
      </c>
      <c r="L134" s="13">
        <f t="shared" si="4"/>
        <v>59765</v>
      </c>
    </row>
    <row r="135" spans="1:12" ht="15.75" x14ac:dyDescent="0.25">
      <c r="A135" s="16" t="s">
        <v>324</v>
      </c>
      <c r="B135" s="37" t="s">
        <v>323</v>
      </c>
      <c r="C135" s="16" t="s">
        <v>55</v>
      </c>
      <c r="D135" s="16" t="s">
        <v>56</v>
      </c>
      <c r="E135" s="16" t="s">
        <v>324</v>
      </c>
      <c r="F135" s="16" t="s">
        <v>86</v>
      </c>
      <c r="G135" s="16" t="s">
        <v>87</v>
      </c>
      <c r="H135" s="26">
        <v>0</v>
      </c>
      <c r="I135" s="26">
        <v>376</v>
      </c>
      <c r="J135" s="26">
        <v>0</v>
      </c>
      <c r="K135" s="26">
        <v>0</v>
      </c>
      <c r="L135" s="13">
        <f t="shared" si="4"/>
        <v>376</v>
      </c>
    </row>
    <row r="136" spans="1:12" ht="15.75" x14ac:dyDescent="0.25">
      <c r="A136" s="16" t="s">
        <v>111</v>
      </c>
      <c r="B136" s="37" t="s">
        <v>110</v>
      </c>
      <c r="C136" s="16" t="s">
        <v>55</v>
      </c>
      <c r="D136" s="16" t="s">
        <v>56</v>
      </c>
      <c r="E136" s="16" t="s">
        <v>111</v>
      </c>
      <c r="F136" s="16" t="s">
        <v>86</v>
      </c>
      <c r="G136" s="16" t="s">
        <v>87</v>
      </c>
      <c r="H136" s="26">
        <v>4132</v>
      </c>
      <c r="I136" s="26">
        <v>0</v>
      </c>
      <c r="J136" s="26">
        <v>0</v>
      </c>
      <c r="K136" s="26">
        <v>0</v>
      </c>
      <c r="L136" s="13">
        <f t="shared" si="4"/>
        <v>4132</v>
      </c>
    </row>
    <row r="137" spans="1:12" ht="15.75" x14ac:dyDescent="0.25">
      <c r="A137" s="16" t="s">
        <v>60</v>
      </c>
      <c r="B137" s="37" t="s">
        <v>89</v>
      </c>
      <c r="C137" s="16" t="s">
        <v>55</v>
      </c>
      <c r="D137" s="16" t="s">
        <v>56</v>
      </c>
      <c r="E137" s="16" t="s">
        <v>60</v>
      </c>
      <c r="F137" s="16" t="s">
        <v>86</v>
      </c>
      <c r="G137" s="16" t="s">
        <v>87</v>
      </c>
      <c r="H137" s="26">
        <v>5521</v>
      </c>
      <c r="I137" s="26">
        <v>0</v>
      </c>
      <c r="J137" s="26">
        <v>0</v>
      </c>
      <c r="K137" s="26">
        <v>0</v>
      </c>
      <c r="L137" s="13">
        <f t="shared" si="4"/>
        <v>5521</v>
      </c>
    </row>
    <row r="138" spans="1:12" ht="15.75" x14ac:dyDescent="0.25">
      <c r="A138" s="16" t="s">
        <v>61</v>
      </c>
      <c r="B138" s="37" t="s">
        <v>90</v>
      </c>
      <c r="C138" s="16" t="s">
        <v>55</v>
      </c>
      <c r="D138" s="16" t="s">
        <v>56</v>
      </c>
      <c r="E138" s="16" t="s">
        <v>61</v>
      </c>
      <c r="F138" s="16" t="s">
        <v>86</v>
      </c>
      <c r="G138" s="16" t="s">
        <v>87</v>
      </c>
      <c r="H138" s="26">
        <v>1803</v>
      </c>
      <c r="I138" s="26">
        <v>3511</v>
      </c>
      <c r="J138" s="26">
        <v>0</v>
      </c>
      <c r="K138" s="26">
        <v>0</v>
      </c>
      <c r="L138" s="13">
        <f t="shared" si="4"/>
        <v>5314</v>
      </c>
    </row>
    <row r="139" spans="1:12" ht="15.75" x14ac:dyDescent="0.25">
      <c r="A139" s="16" t="s">
        <v>277</v>
      </c>
      <c r="B139" s="37" t="s">
        <v>276</v>
      </c>
      <c r="C139" s="16" t="s">
        <v>55</v>
      </c>
      <c r="D139" s="16" t="s">
        <v>56</v>
      </c>
      <c r="E139" s="16" t="s">
        <v>277</v>
      </c>
      <c r="F139" s="16" t="s">
        <v>86</v>
      </c>
      <c r="G139" s="16" t="s">
        <v>87</v>
      </c>
      <c r="H139" s="26">
        <v>507</v>
      </c>
      <c r="I139" s="26">
        <v>0</v>
      </c>
      <c r="J139" s="26">
        <v>0</v>
      </c>
      <c r="K139" s="26">
        <v>0</v>
      </c>
      <c r="L139" s="13">
        <f t="shared" si="4"/>
        <v>507</v>
      </c>
    </row>
    <row r="140" spans="1:12" ht="15.75" x14ac:dyDescent="0.25">
      <c r="A140" s="16" t="s">
        <v>251</v>
      </c>
      <c r="B140" s="37" t="s">
        <v>250</v>
      </c>
      <c r="C140" s="16" t="s">
        <v>55</v>
      </c>
      <c r="D140" s="16" t="s">
        <v>56</v>
      </c>
      <c r="E140" s="16" t="s">
        <v>251</v>
      </c>
      <c r="F140" s="16" t="s">
        <v>86</v>
      </c>
      <c r="G140" s="16" t="s">
        <v>87</v>
      </c>
      <c r="H140" s="26">
        <v>0</v>
      </c>
      <c r="I140" s="26">
        <v>0</v>
      </c>
      <c r="J140" s="26">
        <v>2000</v>
      </c>
      <c r="K140" s="26">
        <v>0</v>
      </c>
      <c r="L140" s="13">
        <f t="shared" si="4"/>
        <v>2000</v>
      </c>
    </row>
    <row r="141" spans="1:12" ht="15.75" x14ac:dyDescent="0.25">
      <c r="A141" s="16" t="s">
        <v>279</v>
      </c>
      <c r="B141" s="37" t="s">
        <v>278</v>
      </c>
      <c r="C141" s="16" t="s">
        <v>55</v>
      </c>
      <c r="D141" s="16" t="s">
        <v>57</v>
      </c>
      <c r="E141" s="16" t="s">
        <v>279</v>
      </c>
      <c r="F141" s="16" t="s">
        <v>86</v>
      </c>
      <c r="G141" s="16" t="s">
        <v>87</v>
      </c>
      <c r="H141" s="26">
        <v>300</v>
      </c>
      <c r="I141" s="26">
        <v>0</v>
      </c>
      <c r="J141" s="26">
        <v>0</v>
      </c>
      <c r="K141" s="26">
        <v>32</v>
      </c>
      <c r="L141" s="13">
        <f t="shared" si="4"/>
        <v>332</v>
      </c>
    </row>
    <row r="142" spans="1:12" ht="15.75" x14ac:dyDescent="0.25">
      <c r="A142" s="16" t="s">
        <v>171</v>
      </c>
      <c r="B142" s="37" t="s">
        <v>170</v>
      </c>
      <c r="C142" s="16" t="s">
        <v>55</v>
      </c>
      <c r="D142" s="16" t="s">
        <v>56</v>
      </c>
      <c r="E142" s="16" t="s">
        <v>171</v>
      </c>
      <c r="F142" s="16" t="s">
        <v>86</v>
      </c>
      <c r="G142" s="16" t="s">
        <v>87</v>
      </c>
      <c r="H142" s="26">
        <v>8239</v>
      </c>
      <c r="I142" s="26">
        <v>0</v>
      </c>
      <c r="J142" s="26">
        <v>0</v>
      </c>
      <c r="K142" s="26">
        <v>0</v>
      </c>
      <c r="L142" s="13">
        <f t="shared" si="4"/>
        <v>8239</v>
      </c>
    </row>
    <row r="143" spans="1:12" ht="15.75" x14ac:dyDescent="0.25">
      <c r="A143" s="16" t="s">
        <v>281</v>
      </c>
      <c r="B143" s="37" t="s">
        <v>280</v>
      </c>
      <c r="C143" s="16" t="s">
        <v>55</v>
      </c>
      <c r="D143" s="16" t="s">
        <v>56</v>
      </c>
      <c r="E143" s="16" t="s">
        <v>281</v>
      </c>
      <c r="F143" s="16" t="s">
        <v>86</v>
      </c>
      <c r="G143" s="16" t="s">
        <v>87</v>
      </c>
      <c r="H143" s="26">
        <v>422</v>
      </c>
      <c r="I143" s="26">
        <v>0</v>
      </c>
      <c r="J143" s="26">
        <v>0</v>
      </c>
      <c r="K143" s="26">
        <v>0</v>
      </c>
      <c r="L143" s="13">
        <f t="shared" si="4"/>
        <v>422</v>
      </c>
    </row>
    <row r="144" spans="1:12" ht="15.75" x14ac:dyDescent="0.25">
      <c r="A144" s="16" t="s">
        <v>62</v>
      </c>
      <c r="B144" s="37" t="s">
        <v>197</v>
      </c>
      <c r="C144" s="16" t="s">
        <v>55</v>
      </c>
      <c r="D144" s="16" t="s">
        <v>56</v>
      </c>
      <c r="E144" s="16" t="s">
        <v>62</v>
      </c>
      <c r="F144" s="16" t="s">
        <v>86</v>
      </c>
      <c r="G144" s="16" t="s">
        <v>87</v>
      </c>
      <c r="H144" s="26">
        <v>8155</v>
      </c>
      <c r="I144" s="26">
        <v>0</v>
      </c>
      <c r="J144" s="26">
        <v>0</v>
      </c>
      <c r="K144" s="26">
        <v>0</v>
      </c>
      <c r="L144" s="13">
        <f t="shared" si="4"/>
        <v>8155</v>
      </c>
    </row>
    <row r="145" spans="1:12" ht="15.75" x14ac:dyDescent="0.25">
      <c r="A145" s="16" t="s">
        <v>63</v>
      </c>
      <c r="B145" s="37" t="s">
        <v>91</v>
      </c>
      <c r="C145" s="16" t="s">
        <v>55</v>
      </c>
      <c r="D145" s="16" t="s">
        <v>56</v>
      </c>
      <c r="E145" s="16" t="s">
        <v>63</v>
      </c>
      <c r="F145" s="16" t="s">
        <v>86</v>
      </c>
      <c r="G145" s="16" t="s">
        <v>87</v>
      </c>
      <c r="H145" s="26">
        <v>0</v>
      </c>
      <c r="I145" s="26">
        <v>170600</v>
      </c>
      <c r="J145" s="26">
        <v>0</v>
      </c>
      <c r="K145" s="26">
        <v>0</v>
      </c>
      <c r="L145" s="13">
        <f t="shared" si="4"/>
        <v>170600</v>
      </c>
    </row>
    <row r="146" spans="1:12" ht="15.75" x14ac:dyDescent="0.25">
      <c r="A146" s="16" t="s">
        <v>283</v>
      </c>
      <c r="B146" s="37" t="s">
        <v>282</v>
      </c>
      <c r="C146" s="16" t="s">
        <v>55</v>
      </c>
      <c r="D146" s="16" t="s">
        <v>56</v>
      </c>
      <c r="E146" s="16" t="s">
        <v>283</v>
      </c>
      <c r="F146" s="16" t="s">
        <v>86</v>
      </c>
      <c r="G146" s="16" t="s">
        <v>87</v>
      </c>
      <c r="H146" s="26">
        <v>5185</v>
      </c>
      <c r="I146" s="26">
        <v>0</v>
      </c>
      <c r="J146" s="26">
        <v>0</v>
      </c>
      <c r="K146" s="26">
        <v>0</v>
      </c>
      <c r="L146" s="13">
        <f t="shared" si="4"/>
        <v>5185</v>
      </c>
    </row>
    <row r="147" spans="1:12" ht="15.75" x14ac:dyDescent="0.25">
      <c r="A147" s="16" t="s">
        <v>64</v>
      </c>
      <c r="B147" s="37" t="s">
        <v>92</v>
      </c>
      <c r="C147" s="16" t="s">
        <v>55</v>
      </c>
      <c r="D147" s="16" t="s">
        <v>56</v>
      </c>
      <c r="E147" s="16" t="s">
        <v>64</v>
      </c>
      <c r="F147" s="16" t="s">
        <v>86</v>
      </c>
      <c r="G147" s="16" t="s">
        <v>87</v>
      </c>
      <c r="H147" s="26">
        <v>0</v>
      </c>
      <c r="I147" s="26">
        <v>87324</v>
      </c>
      <c r="J147" s="26">
        <v>0</v>
      </c>
      <c r="K147" s="26">
        <v>0</v>
      </c>
      <c r="L147" s="13">
        <f t="shared" si="4"/>
        <v>87324</v>
      </c>
    </row>
    <row r="148" spans="1:12" ht="15.75" x14ac:dyDescent="0.25">
      <c r="A148" s="16" t="s">
        <v>180</v>
      </c>
      <c r="B148" s="37" t="s">
        <v>179</v>
      </c>
      <c r="C148" s="16" t="s">
        <v>55</v>
      </c>
      <c r="D148" s="16" t="s">
        <v>57</v>
      </c>
      <c r="E148" s="16" t="s">
        <v>180</v>
      </c>
      <c r="F148" s="16" t="s">
        <v>86</v>
      </c>
      <c r="G148" s="16" t="s">
        <v>87</v>
      </c>
      <c r="H148" s="26">
        <v>0</v>
      </c>
      <c r="I148" s="26">
        <v>0</v>
      </c>
      <c r="J148" s="26">
        <v>1432</v>
      </c>
      <c r="K148" s="26">
        <v>0</v>
      </c>
      <c r="L148" s="13">
        <f t="shared" si="4"/>
        <v>1432</v>
      </c>
    </row>
    <row r="149" spans="1:12" ht="15.75" x14ac:dyDescent="0.25">
      <c r="A149" s="16" t="s">
        <v>263</v>
      </c>
      <c r="B149" s="37" t="s">
        <v>262</v>
      </c>
      <c r="C149" s="16" t="s">
        <v>55</v>
      </c>
      <c r="D149" s="16" t="s">
        <v>56</v>
      </c>
      <c r="E149" s="16" t="s">
        <v>263</v>
      </c>
      <c r="F149" s="16" t="s">
        <v>86</v>
      </c>
      <c r="G149" s="16" t="s">
        <v>87</v>
      </c>
      <c r="H149" s="26">
        <v>4200</v>
      </c>
      <c r="I149" s="26">
        <v>0</v>
      </c>
      <c r="J149" s="26">
        <v>0</v>
      </c>
      <c r="K149" s="26">
        <v>0</v>
      </c>
      <c r="L149" s="13">
        <f t="shared" si="4"/>
        <v>4200</v>
      </c>
    </row>
    <row r="150" spans="1:12" ht="15.75" x14ac:dyDescent="0.25">
      <c r="A150" s="16" t="s">
        <v>68</v>
      </c>
      <c r="B150" s="37" t="s">
        <v>94</v>
      </c>
      <c r="C150" s="16" t="s">
        <v>55</v>
      </c>
      <c r="D150" s="16" t="s">
        <v>56</v>
      </c>
      <c r="E150" s="16" t="s">
        <v>68</v>
      </c>
      <c r="F150" s="16" t="s">
        <v>86</v>
      </c>
      <c r="G150" s="16" t="s">
        <v>87</v>
      </c>
      <c r="H150" s="26">
        <v>34880</v>
      </c>
      <c r="I150" s="26">
        <v>0</v>
      </c>
      <c r="J150" s="26">
        <v>0</v>
      </c>
      <c r="K150" s="26">
        <v>0</v>
      </c>
      <c r="L150" s="13">
        <f t="shared" si="4"/>
        <v>34880</v>
      </c>
    </row>
    <row r="151" spans="1:12" ht="15.75" x14ac:dyDescent="0.25">
      <c r="A151" s="16" t="s">
        <v>69</v>
      </c>
      <c r="B151" s="37" t="s">
        <v>95</v>
      </c>
      <c r="C151" s="16" t="s">
        <v>55</v>
      </c>
      <c r="D151" s="16" t="s">
        <v>57</v>
      </c>
      <c r="E151" s="16" t="s">
        <v>69</v>
      </c>
      <c r="F151" s="16" t="s">
        <v>86</v>
      </c>
      <c r="G151" s="16" t="s">
        <v>87</v>
      </c>
      <c r="H151" s="26">
        <v>0</v>
      </c>
      <c r="I151" s="26">
        <v>0</v>
      </c>
      <c r="J151" s="26">
        <v>12159</v>
      </c>
      <c r="K151" s="26">
        <v>0</v>
      </c>
      <c r="L151" s="13">
        <f t="shared" si="4"/>
        <v>12159</v>
      </c>
    </row>
    <row r="152" spans="1:12" ht="15.75" x14ac:dyDescent="0.25">
      <c r="A152" s="16" t="s">
        <v>70</v>
      </c>
      <c r="B152" s="37" t="s">
        <v>96</v>
      </c>
      <c r="C152" s="16" t="s">
        <v>55</v>
      </c>
      <c r="D152" s="16" t="s">
        <v>56</v>
      </c>
      <c r="E152" s="16" t="s">
        <v>70</v>
      </c>
      <c r="F152" s="16" t="s">
        <v>86</v>
      </c>
      <c r="G152" s="16" t="s">
        <v>87</v>
      </c>
      <c r="H152" s="26">
        <v>191</v>
      </c>
      <c r="I152" s="26">
        <v>0</v>
      </c>
      <c r="J152" s="26">
        <v>0</v>
      </c>
      <c r="K152" s="26">
        <v>0</v>
      </c>
      <c r="L152" s="13">
        <f t="shared" si="4"/>
        <v>191</v>
      </c>
    </row>
    <row r="153" spans="1:12" ht="15.75" x14ac:dyDescent="0.25">
      <c r="A153" s="16" t="s">
        <v>285</v>
      </c>
      <c r="B153" s="37" t="s">
        <v>284</v>
      </c>
      <c r="C153" s="16" t="s">
        <v>55</v>
      </c>
      <c r="D153" s="16" t="s">
        <v>56</v>
      </c>
      <c r="E153" s="16" t="s">
        <v>285</v>
      </c>
      <c r="F153" s="16" t="s">
        <v>86</v>
      </c>
      <c r="G153" s="16" t="s">
        <v>87</v>
      </c>
      <c r="H153" s="26">
        <v>349</v>
      </c>
      <c r="I153" s="26">
        <v>0</v>
      </c>
      <c r="J153" s="26">
        <v>0</v>
      </c>
      <c r="K153" s="26">
        <v>0</v>
      </c>
      <c r="L153" s="13">
        <f t="shared" si="4"/>
        <v>349</v>
      </c>
    </row>
    <row r="154" spans="1:12" ht="15.75" x14ac:dyDescent="0.25">
      <c r="A154" s="16" t="s">
        <v>71</v>
      </c>
      <c r="B154" s="37" t="s">
        <v>97</v>
      </c>
      <c r="C154" s="16" t="s">
        <v>55</v>
      </c>
      <c r="D154" s="16" t="s">
        <v>56</v>
      </c>
      <c r="E154" s="16" t="s">
        <v>71</v>
      </c>
      <c r="F154" s="16" t="s">
        <v>86</v>
      </c>
      <c r="G154" s="16" t="s">
        <v>87</v>
      </c>
      <c r="H154" s="26">
        <v>720</v>
      </c>
      <c r="I154" s="26">
        <v>0</v>
      </c>
      <c r="J154" s="26">
        <v>0</v>
      </c>
      <c r="K154" s="26">
        <v>0</v>
      </c>
      <c r="L154" s="13">
        <f t="shared" si="4"/>
        <v>720</v>
      </c>
    </row>
    <row r="155" spans="1:12" ht="15.75" x14ac:dyDescent="0.25">
      <c r="A155" s="16" t="s">
        <v>72</v>
      </c>
      <c r="B155" s="37" t="s">
        <v>98</v>
      </c>
      <c r="C155" s="16" t="s">
        <v>55</v>
      </c>
      <c r="D155" s="16" t="s">
        <v>57</v>
      </c>
      <c r="E155" s="16" t="s">
        <v>72</v>
      </c>
      <c r="F155" s="16" t="s">
        <v>86</v>
      </c>
      <c r="G155" s="16" t="s">
        <v>87</v>
      </c>
      <c r="H155" s="26">
        <v>1800</v>
      </c>
      <c r="I155" s="26">
        <v>0</v>
      </c>
      <c r="J155" s="26">
        <v>0</v>
      </c>
      <c r="K155" s="26">
        <v>192</v>
      </c>
      <c r="L155" s="13">
        <f t="shared" si="4"/>
        <v>1992</v>
      </c>
    </row>
    <row r="156" spans="1:12" ht="15.75" x14ac:dyDescent="0.25">
      <c r="A156" s="16" t="s">
        <v>73</v>
      </c>
      <c r="B156" s="37" t="s">
        <v>99</v>
      </c>
      <c r="C156" s="16" t="s">
        <v>55</v>
      </c>
      <c r="D156" s="16" t="s">
        <v>58</v>
      </c>
      <c r="E156" s="16" t="s">
        <v>73</v>
      </c>
      <c r="F156" s="16" t="s">
        <v>86</v>
      </c>
      <c r="G156" s="16" t="s">
        <v>87</v>
      </c>
      <c r="H156" s="26">
        <v>82000</v>
      </c>
      <c r="I156" s="26">
        <v>0</v>
      </c>
      <c r="J156" s="26">
        <v>0</v>
      </c>
      <c r="K156" s="26">
        <v>8749</v>
      </c>
      <c r="L156" s="13">
        <f t="shared" si="4"/>
        <v>90749</v>
      </c>
    </row>
    <row r="157" spans="1:12" ht="15.75" x14ac:dyDescent="0.25">
      <c r="A157" s="16" t="s">
        <v>253</v>
      </c>
      <c r="B157" s="37" t="s">
        <v>252</v>
      </c>
      <c r="C157" s="16" t="s">
        <v>55</v>
      </c>
      <c r="D157" s="16" t="s">
        <v>56</v>
      </c>
      <c r="E157" s="16" t="s">
        <v>253</v>
      </c>
      <c r="F157" s="16" t="s">
        <v>86</v>
      </c>
      <c r="G157" s="16" t="s">
        <v>87</v>
      </c>
      <c r="H157" s="26">
        <v>1558</v>
      </c>
      <c r="I157" s="26">
        <v>0</v>
      </c>
      <c r="J157" s="26">
        <v>0</v>
      </c>
      <c r="K157" s="26">
        <v>0</v>
      </c>
      <c r="L157" s="13">
        <f t="shared" si="4"/>
        <v>1558</v>
      </c>
    </row>
    <row r="158" spans="1:12" ht="15.75" x14ac:dyDescent="0.25">
      <c r="A158" s="16" t="s">
        <v>75</v>
      </c>
      <c r="B158" s="37" t="s">
        <v>101</v>
      </c>
      <c r="C158" s="16" t="s">
        <v>55</v>
      </c>
      <c r="D158" s="16" t="s">
        <v>56</v>
      </c>
      <c r="E158" s="16" t="s">
        <v>75</v>
      </c>
      <c r="F158" s="16" t="s">
        <v>86</v>
      </c>
      <c r="G158" s="16" t="s">
        <v>87</v>
      </c>
      <c r="H158" s="26">
        <v>1107</v>
      </c>
      <c r="I158" s="26">
        <v>0</v>
      </c>
      <c r="J158" s="26">
        <v>7852</v>
      </c>
      <c r="K158" s="26">
        <v>0</v>
      </c>
      <c r="L158" s="13">
        <f t="shared" si="4"/>
        <v>8959</v>
      </c>
    </row>
    <row r="159" spans="1:12" ht="15.75" x14ac:dyDescent="0.25">
      <c r="A159" s="16" t="s">
        <v>135</v>
      </c>
      <c r="B159" s="37" t="s">
        <v>134</v>
      </c>
      <c r="C159" s="16" t="s">
        <v>55</v>
      </c>
      <c r="D159" s="16" t="s">
        <v>56</v>
      </c>
      <c r="E159" s="16" t="s">
        <v>135</v>
      </c>
      <c r="F159" s="16" t="s">
        <v>86</v>
      </c>
      <c r="G159" s="16" t="s">
        <v>87</v>
      </c>
      <c r="H159" s="26">
        <v>8700</v>
      </c>
      <c r="I159" s="26">
        <v>0</v>
      </c>
      <c r="J159" s="26">
        <v>0</v>
      </c>
      <c r="K159" s="26">
        <v>0</v>
      </c>
      <c r="L159" s="13">
        <f t="shared" si="4"/>
        <v>8700</v>
      </c>
    </row>
    <row r="160" spans="1:12" ht="15.75" x14ac:dyDescent="0.25">
      <c r="A160" s="16" t="s">
        <v>287</v>
      </c>
      <c r="B160" s="37" t="s">
        <v>286</v>
      </c>
      <c r="C160" s="16" t="s">
        <v>55</v>
      </c>
      <c r="D160" s="16" t="s">
        <v>57</v>
      </c>
      <c r="E160" s="16" t="s">
        <v>287</v>
      </c>
      <c r="F160" s="16" t="s">
        <v>86</v>
      </c>
      <c r="G160" s="16" t="s">
        <v>87</v>
      </c>
      <c r="H160" s="26">
        <v>0</v>
      </c>
      <c r="I160" s="26">
        <v>0</v>
      </c>
      <c r="J160" s="26">
        <v>1254</v>
      </c>
      <c r="K160" s="26">
        <v>0</v>
      </c>
      <c r="L160" s="13">
        <f t="shared" si="4"/>
        <v>1254</v>
      </c>
    </row>
    <row r="161" spans="1:12" ht="15.75" x14ac:dyDescent="0.25">
      <c r="A161" s="16" t="s">
        <v>141</v>
      </c>
      <c r="B161" s="37" t="s">
        <v>140</v>
      </c>
      <c r="C161" s="16" t="s">
        <v>55</v>
      </c>
      <c r="D161" s="16" t="s">
        <v>56</v>
      </c>
      <c r="E161" s="16" t="s">
        <v>141</v>
      </c>
      <c r="F161" s="16" t="s">
        <v>86</v>
      </c>
      <c r="G161" s="16" t="s">
        <v>87</v>
      </c>
      <c r="H161" s="26">
        <v>28000</v>
      </c>
      <c r="I161" s="26">
        <v>0</v>
      </c>
      <c r="J161" s="26">
        <v>0</v>
      </c>
      <c r="K161" s="26">
        <v>0</v>
      </c>
      <c r="L161" s="13">
        <f t="shared" si="4"/>
        <v>28000</v>
      </c>
    </row>
    <row r="162" spans="1:12" ht="15.75" x14ac:dyDescent="0.25">
      <c r="A162" s="16" t="s">
        <v>182</v>
      </c>
      <c r="B162" s="37" t="s">
        <v>181</v>
      </c>
      <c r="C162" s="16" t="s">
        <v>55</v>
      </c>
      <c r="D162" s="16" t="s">
        <v>56</v>
      </c>
      <c r="E162" s="16" t="s">
        <v>182</v>
      </c>
      <c r="F162" s="16" t="s">
        <v>86</v>
      </c>
      <c r="G162" s="16" t="s">
        <v>87</v>
      </c>
      <c r="H162" s="26">
        <v>1012</v>
      </c>
      <c r="I162" s="26">
        <v>0</v>
      </c>
      <c r="J162" s="26">
        <v>0</v>
      </c>
      <c r="K162" s="26">
        <v>0</v>
      </c>
      <c r="L162" s="13">
        <f t="shared" ref="L162:L193" si="5">SUM(H162:K162)</f>
        <v>1012</v>
      </c>
    </row>
    <row r="163" spans="1:12" ht="15.75" x14ac:dyDescent="0.25">
      <c r="A163" s="16" t="s">
        <v>76</v>
      </c>
      <c r="B163" s="37" t="s">
        <v>102</v>
      </c>
      <c r="C163" s="16" t="s">
        <v>55</v>
      </c>
      <c r="D163" s="16" t="s">
        <v>56</v>
      </c>
      <c r="E163" s="16" t="s">
        <v>76</v>
      </c>
      <c r="F163" s="16" t="s">
        <v>86</v>
      </c>
      <c r="G163" s="16" t="s">
        <v>87</v>
      </c>
      <c r="H163" s="26">
        <v>2808</v>
      </c>
      <c r="I163" s="26">
        <v>2482</v>
      </c>
      <c r="J163" s="26">
        <v>0</v>
      </c>
      <c r="K163" s="26">
        <v>0</v>
      </c>
      <c r="L163" s="13">
        <f t="shared" si="5"/>
        <v>5290</v>
      </c>
    </row>
    <row r="164" spans="1:12" ht="15.75" x14ac:dyDescent="0.25">
      <c r="A164" s="16" t="s">
        <v>77</v>
      </c>
      <c r="B164" s="37" t="s">
        <v>103</v>
      </c>
      <c r="C164" s="16" t="s">
        <v>55</v>
      </c>
      <c r="D164" s="16" t="s">
        <v>56</v>
      </c>
      <c r="E164" s="16" t="s">
        <v>77</v>
      </c>
      <c r="F164" s="16" t="s">
        <v>86</v>
      </c>
      <c r="G164" s="16" t="s">
        <v>87</v>
      </c>
      <c r="H164" s="26">
        <v>3053</v>
      </c>
      <c r="I164" s="26">
        <v>0</v>
      </c>
      <c r="J164" s="26">
        <v>0</v>
      </c>
      <c r="K164" s="26">
        <v>0</v>
      </c>
      <c r="L164" s="13">
        <f t="shared" si="5"/>
        <v>3053</v>
      </c>
    </row>
    <row r="165" spans="1:12" ht="15.75" x14ac:dyDescent="0.25">
      <c r="A165" s="16" t="s">
        <v>176</v>
      </c>
      <c r="B165" s="37" t="s">
        <v>325</v>
      </c>
      <c r="C165" s="16" t="s">
        <v>55</v>
      </c>
      <c r="D165" s="16" t="s">
        <v>57</v>
      </c>
      <c r="E165" s="16" t="s">
        <v>176</v>
      </c>
      <c r="F165" s="16" t="s">
        <v>86</v>
      </c>
      <c r="G165" s="16" t="s">
        <v>87</v>
      </c>
      <c r="H165" s="26">
        <v>0</v>
      </c>
      <c r="I165" s="26">
        <v>0</v>
      </c>
      <c r="J165" s="26">
        <v>10637</v>
      </c>
      <c r="K165" s="26">
        <v>0</v>
      </c>
      <c r="L165" s="13">
        <f t="shared" si="5"/>
        <v>10637</v>
      </c>
    </row>
    <row r="166" spans="1:12" ht="15.75" x14ac:dyDescent="0.25">
      <c r="A166" s="16" t="s">
        <v>255</v>
      </c>
      <c r="B166" s="37" t="s">
        <v>254</v>
      </c>
      <c r="C166" s="16" t="s">
        <v>55</v>
      </c>
      <c r="D166" s="16" t="s">
        <v>57</v>
      </c>
      <c r="E166" s="16" t="s">
        <v>255</v>
      </c>
      <c r="F166" s="16" t="s">
        <v>86</v>
      </c>
      <c r="G166" s="16" t="s">
        <v>87</v>
      </c>
      <c r="H166" s="26">
        <v>15874</v>
      </c>
      <c r="I166" s="26">
        <v>0</v>
      </c>
      <c r="J166" s="26">
        <v>0</v>
      </c>
      <c r="K166" s="26">
        <v>1694</v>
      </c>
      <c r="L166" s="13">
        <f t="shared" si="5"/>
        <v>17568</v>
      </c>
    </row>
    <row r="167" spans="1:12" ht="15.75" x14ac:dyDescent="0.25">
      <c r="A167" s="16" t="s">
        <v>79</v>
      </c>
      <c r="B167" s="37" t="s">
        <v>104</v>
      </c>
      <c r="C167" s="16" t="s">
        <v>55</v>
      </c>
      <c r="D167" s="16" t="s">
        <v>56</v>
      </c>
      <c r="E167" s="16" t="s">
        <v>79</v>
      </c>
      <c r="F167" s="16" t="s">
        <v>86</v>
      </c>
      <c r="G167" s="16" t="s">
        <v>87</v>
      </c>
      <c r="H167" s="26">
        <v>0</v>
      </c>
      <c r="I167" s="26">
        <v>0</v>
      </c>
      <c r="J167" s="26">
        <v>2510</v>
      </c>
      <c r="K167" s="26">
        <v>0</v>
      </c>
      <c r="L167" s="13">
        <f t="shared" si="5"/>
        <v>2510</v>
      </c>
    </row>
    <row r="168" spans="1:12" ht="15.75" x14ac:dyDescent="0.25">
      <c r="A168" s="16" t="s">
        <v>165</v>
      </c>
      <c r="B168" s="37" t="s">
        <v>168</v>
      </c>
      <c r="C168" s="16" t="s">
        <v>55</v>
      </c>
      <c r="D168" s="16" t="s">
        <v>56</v>
      </c>
      <c r="E168" s="16" t="s">
        <v>165</v>
      </c>
      <c r="F168" s="16" t="s">
        <v>86</v>
      </c>
      <c r="G168" s="16" t="s">
        <v>87</v>
      </c>
      <c r="H168" s="26">
        <v>0</v>
      </c>
      <c r="I168" s="26">
        <v>65255</v>
      </c>
      <c r="J168" s="26">
        <v>0</v>
      </c>
      <c r="K168" s="26">
        <v>0</v>
      </c>
      <c r="L168" s="13">
        <f t="shared" si="5"/>
        <v>65255</v>
      </c>
    </row>
    <row r="169" spans="1:12" ht="15.75" x14ac:dyDescent="0.25">
      <c r="A169" s="16" t="s">
        <v>154</v>
      </c>
      <c r="B169" s="37" t="s">
        <v>153</v>
      </c>
      <c r="C169" s="16" t="s">
        <v>55</v>
      </c>
      <c r="D169" s="16" t="s">
        <v>56</v>
      </c>
      <c r="E169" s="16" t="s">
        <v>154</v>
      </c>
      <c r="F169" s="16" t="s">
        <v>86</v>
      </c>
      <c r="G169" s="16" t="s">
        <v>87</v>
      </c>
      <c r="H169" s="26">
        <v>2000</v>
      </c>
      <c r="I169" s="26">
        <v>0</v>
      </c>
      <c r="J169" s="26">
        <v>0</v>
      </c>
      <c r="K169" s="26">
        <v>0</v>
      </c>
      <c r="L169" s="13">
        <f t="shared" si="5"/>
        <v>2000</v>
      </c>
    </row>
    <row r="170" spans="1:12" ht="15.75" x14ac:dyDescent="0.25">
      <c r="A170" s="16" t="s">
        <v>289</v>
      </c>
      <c r="B170" s="37" t="s">
        <v>288</v>
      </c>
      <c r="C170" s="16" t="s">
        <v>55</v>
      </c>
      <c r="D170" s="16" t="s">
        <v>56</v>
      </c>
      <c r="E170" s="16" t="s">
        <v>289</v>
      </c>
      <c r="F170" s="16" t="s">
        <v>86</v>
      </c>
      <c r="G170" s="16" t="s">
        <v>87</v>
      </c>
      <c r="H170" s="26">
        <v>1784</v>
      </c>
      <c r="I170" s="26">
        <v>0</v>
      </c>
      <c r="J170" s="26">
        <v>0</v>
      </c>
      <c r="K170" s="26">
        <v>0</v>
      </c>
      <c r="L170" s="13">
        <f t="shared" si="5"/>
        <v>1784</v>
      </c>
    </row>
    <row r="171" spans="1:12" ht="15.75" x14ac:dyDescent="0.25">
      <c r="A171" s="16" t="s">
        <v>291</v>
      </c>
      <c r="B171" s="37" t="s">
        <v>290</v>
      </c>
      <c r="C171" s="16" t="s">
        <v>55</v>
      </c>
      <c r="D171" s="16" t="s">
        <v>56</v>
      </c>
      <c r="E171" s="16" t="s">
        <v>291</v>
      </c>
      <c r="F171" s="16" t="s">
        <v>86</v>
      </c>
      <c r="G171" s="16" t="s">
        <v>87</v>
      </c>
      <c r="H171" s="26">
        <v>1569</v>
      </c>
      <c r="I171" s="26">
        <v>0</v>
      </c>
      <c r="J171" s="26">
        <v>0</v>
      </c>
      <c r="K171" s="26">
        <v>0</v>
      </c>
      <c r="L171" s="13">
        <f t="shared" si="5"/>
        <v>1569</v>
      </c>
    </row>
    <row r="172" spans="1:12" ht="15.75" x14ac:dyDescent="0.25">
      <c r="A172" s="16" t="s">
        <v>327</v>
      </c>
      <c r="B172" s="37" t="s">
        <v>326</v>
      </c>
      <c r="C172" s="16" t="s">
        <v>55</v>
      </c>
      <c r="D172" s="16" t="s">
        <v>56</v>
      </c>
      <c r="E172" s="16" t="s">
        <v>327</v>
      </c>
      <c r="F172" s="16" t="s">
        <v>86</v>
      </c>
      <c r="G172" s="16" t="s">
        <v>87</v>
      </c>
      <c r="H172" s="26">
        <v>1410</v>
      </c>
      <c r="I172" s="26">
        <v>0</v>
      </c>
      <c r="J172" s="26">
        <v>0</v>
      </c>
      <c r="K172" s="26">
        <v>0</v>
      </c>
      <c r="L172" s="13">
        <f t="shared" si="5"/>
        <v>1410</v>
      </c>
    </row>
    <row r="173" spans="1:12" ht="15.75" x14ac:dyDescent="0.25">
      <c r="A173" s="16" t="s">
        <v>293</v>
      </c>
      <c r="B173" s="37" t="s">
        <v>292</v>
      </c>
      <c r="C173" s="16" t="s">
        <v>55</v>
      </c>
      <c r="D173" s="16" t="s">
        <v>56</v>
      </c>
      <c r="E173" s="16" t="s">
        <v>293</v>
      </c>
      <c r="F173" s="16" t="s">
        <v>86</v>
      </c>
      <c r="G173" s="16" t="s">
        <v>87</v>
      </c>
      <c r="H173" s="26">
        <v>2595</v>
      </c>
      <c r="I173" s="26">
        <v>0</v>
      </c>
      <c r="J173" s="26">
        <v>0</v>
      </c>
      <c r="K173" s="26">
        <v>0</v>
      </c>
      <c r="L173" s="13">
        <f t="shared" si="5"/>
        <v>2595</v>
      </c>
    </row>
    <row r="175" spans="1:12" x14ac:dyDescent="0.25">
      <c r="H175" s="13">
        <f>SUM(H2:H174)</f>
        <v>2925635</v>
      </c>
      <c r="I175" s="13">
        <f t="shared" ref="I175:K175" si="6">SUM(I2:I174)</f>
        <v>12280286</v>
      </c>
      <c r="J175" s="13">
        <f t="shared" si="6"/>
        <v>2454224</v>
      </c>
      <c r="K175" s="13">
        <f t="shared" si="6"/>
        <v>95773</v>
      </c>
    </row>
    <row r="176" spans="1:12" x14ac:dyDescent="0.25">
      <c r="H176" s="13">
        <f>GDL!G140</f>
        <v>2925635</v>
      </c>
      <c r="I176" s="13">
        <f>GDL!H140</f>
        <v>12280286</v>
      </c>
      <c r="J176" s="13">
        <f>GDL!I140</f>
        <v>2454224</v>
      </c>
      <c r="K176" s="13">
        <f>GDL!J140</f>
        <v>95773</v>
      </c>
    </row>
    <row r="177" spans="8:11" x14ac:dyDescent="0.25">
      <c r="H177" s="13">
        <f>H175-H176</f>
        <v>0</v>
      </c>
      <c r="I177" s="13">
        <f t="shared" ref="I177:K177" si="7">I175-I176</f>
        <v>0</v>
      </c>
      <c r="J177" s="13">
        <f t="shared" si="7"/>
        <v>0</v>
      </c>
      <c r="K177" s="13">
        <f t="shared" si="7"/>
        <v>0</v>
      </c>
    </row>
    <row r="179" spans="8:11" x14ac:dyDescent="0.25">
      <c r="H179" s="13">
        <f>H176*0.16</f>
        <v>468101.60000000003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DIOT</vt:lpstr>
      <vt:lpstr>COL</vt:lpstr>
      <vt:lpstr>GDL</vt:lpstr>
      <vt:lpstr>Hoja3</vt:lpstr>
      <vt:lpstr>consolodiado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Alcaraz Preciado</dc:creator>
  <cp:lastModifiedBy>Adrian Alcaraz Preciado</cp:lastModifiedBy>
  <cp:lastPrinted>2025-02-20T19:25:52Z</cp:lastPrinted>
  <dcterms:created xsi:type="dcterms:W3CDTF">2025-02-20T17:24:20Z</dcterms:created>
  <dcterms:modified xsi:type="dcterms:W3CDTF">2026-02-11T21:09:09Z</dcterms:modified>
</cp:coreProperties>
</file>