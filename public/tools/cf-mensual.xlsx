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rianAlcarazPreciad\Documents\cci-react\public\tools\"/>
    </mc:Choice>
  </mc:AlternateContent>
  <xr:revisionPtr revIDLastSave="0" documentId="8_{D92BCBC9-2A27-40E0-970E-3E2A8F3AEF0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trol Fiscal" sheetId="1" r:id="rId1"/>
    <sheet name="Instrucciones de Llena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8" i="1" l="1"/>
  <c r="L48" i="1"/>
  <c r="K48" i="1"/>
  <c r="J48" i="1"/>
  <c r="I48" i="1"/>
  <c r="H48" i="1"/>
  <c r="G48" i="1"/>
  <c r="F48" i="1"/>
  <c r="E48" i="1"/>
  <c r="D48" i="1"/>
  <c r="C48" i="1"/>
  <c r="B48" i="1"/>
  <c r="H42" i="1"/>
  <c r="G42" i="1"/>
  <c r="M38" i="1"/>
  <c r="M42" i="1" s="1"/>
  <c r="L38" i="1"/>
  <c r="L42" i="1" s="1"/>
  <c r="K38" i="1"/>
  <c r="K42" i="1" s="1"/>
  <c r="J38" i="1"/>
  <c r="J42" i="1" s="1"/>
  <c r="I38" i="1"/>
  <c r="I42" i="1" s="1"/>
  <c r="H38" i="1"/>
  <c r="G38" i="1"/>
  <c r="F38" i="1"/>
  <c r="F42" i="1" s="1"/>
  <c r="E38" i="1"/>
  <c r="E42" i="1" s="1"/>
  <c r="D38" i="1"/>
  <c r="D42" i="1" s="1"/>
  <c r="C38" i="1"/>
  <c r="C42" i="1" s="1"/>
  <c r="B38" i="1"/>
  <c r="B42" i="1" s="1"/>
  <c r="N37" i="1"/>
  <c r="N36" i="1"/>
  <c r="N38" i="1" s="1"/>
  <c r="N42" i="1" s="1"/>
  <c r="N32" i="1"/>
  <c r="E24" i="1"/>
  <c r="D24" i="1"/>
  <c r="L23" i="1"/>
  <c r="L25" i="1" s="1"/>
  <c r="L27" i="1" s="1"/>
  <c r="L29" i="1" s="1"/>
  <c r="L31" i="1" s="1"/>
  <c r="L33" i="1" s="1"/>
  <c r="L41" i="1" s="1"/>
  <c r="L43" i="1" s="1"/>
  <c r="K23" i="1"/>
  <c r="K25" i="1" s="1"/>
  <c r="K27" i="1" s="1"/>
  <c r="K29" i="1" s="1"/>
  <c r="K31" i="1" s="1"/>
  <c r="K33" i="1" s="1"/>
  <c r="K41" i="1" s="1"/>
  <c r="K43" i="1" s="1"/>
  <c r="J23" i="1"/>
  <c r="J25" i="1" s="1"/>
  <c r="J27" i="1" s="1"/>
  <c r="J29" i="1" s="1"/>
  <c r="J31" i="1" s="1"/>
  <c r="J33" i="1" s="1"/>
  <c r="J41" i="1" s="1"/>
  <c r="J43" i="1" s="1"/>
  <c r="I23" i="1"/>
  <c r="I25" i="1" s="1"/>
  <c r="I27" i="1" s="1"/>
  <c r="I29" i="1" s="1"/>
  <c r="I31" i="1" s="1"/>
  <c r="I33" i="1" s="1"/>
  <c r="I41" i="1" s="1"/>
  <c r="I43" i="1" s="1"/>
  <c r="H23" i="1"/>
  <c r="H25" i="1" s="1"/>
  <c r="H27" i="1" s="1"/>
  <c r="H29" i="1" s="1"/>
  <c r="H31" i="1" s="1"/>
  <c r="H33" i="1" s="1"/>
  <c r="H41" i="1" s="1"/>
  <c r="H43" i="1" s="1"/>
  <c r="G23" i="1"/>
  <c r="G25" i="1" s="1"/>
  <c r="G27" i="1" s="1"/>
  <c r="G29" i="1" s="1"/>
  <c r="G31" i="1" s="1"/>
  <c r="G33" i="1" s="1"/>
  <c r="G41" i="1" s="1"/>
  <c r="G43" i="1" s="1"/>
  <c r="F23" i="1"/>
  <c r="E23" i="1"/>
  <c r="E25" i="1" s="1"/>
  <c r="E27" i="1" s="1"/>
  <c r="E29" i="1" s="1"/>
  <c r="E31" i="1" s="1"/>
  <c r="E33" i="1" s="1"/>
  <c r="E41" i="1" s="1"/>
  <c r="M21" i="1"/>
  <c r="M24" i="1" s="1"/>
  <c r="L21" i="1"/>
  <c r="L24" i="1" s="1"/>
  <c r="K21" i="1"/>
  <c r="K24" i="1" s="1"/>
  <c r="J21" i="1"/>
  <c r="J24" i="1" s="1"/>
  <c r="I21" i="1"/>
  <c r="I24" i="1" s="1"/>
  <c r="H21" i="1"/>
  <c r="H24" i="1" s="1"/>
  <c r="G21" i="1"/>
  <c r="G24" i="1" s="1"/>
  <c r="F21" i="1"/>
  <c r="F24" i="1" s="1"/>
  <c r="E21" i="1"/>
  <c r="D21" i="1"/>
  <c r="C21" i="1"/>
  <c r="C24" i="1" s="1"/>
  <c r="B21" i="1"/>
  <c r="B24" i="1" s="1"/>
  <c r="N20" i="1"/>
  <c r="N19" i="1"/>
  <c r="N18" i="1"/>
  <c r="N17" i="1"/>
  <c r="N16" i="1"/>
  <c r="N15" i="1"/>
  <c r="N14" i="1"/>
  <c r="N21" i="1" s="1"/>
  <c r="N24" i="1" s="1"/>
  <c r="N11" i="1"/>
  <c r="N23" i="1" s="1"/>
  <c r="M11" i="1"/>
  <c r="M23" i="1" s="1"/>
  <c r="M25" i="1" s="1"/>
  <c r="M27" i="1" s="1"/>
  <c r="M29" i="1" s="1"/>
  <c r="M31" i="1" s="1"/>
  <c r="M33" i="1" s="1"/>
  <c r="M41" i="1" s="1"/>
  <c r="M43" i="1" s="1"/>
  <c r="L11" i="1"/>
  <c r="K11" i="1"/>
  <c r="J11" i="1"/>
  <c r="I11" i="1"/>
  <c r="H11" i="1"/>
  <c r="G11" i="1"/>
  <c r="F11" i="1"/>
  <c r="E11" i="1"/>
  <c r="D11" i="1"/>
  <c r="D23" i="1" s="1"/>
  <c r="D25" i="1" s="1"/>
  <c r="D27" i="1" s="1"/>
  <c r="D29" i="1" s="1"/>
  <c r="D31" i="1" s="1"/>
  <c r="D33" i="1" s="1"/>
  <c r="D41" i="1" s="1"/>
  <c r="C11" i="1"/>
  <c r="C23" i="1" s="1"/>
  <c r="C25" i="1" s="1"/>
  <c r="C27" i="1" s="1"/>
  <c r="C29" i="1" s="1"/>
  <c r="C31" i="1" s="1"/>
  <c r="C33" i="1" s="1"/>
  <c r="C41" i="1" s="1"/>
  <c r="C43" i="1" s="1"/>
  <c r="B11" i="1"/>
  <c r="B23" i="1" s="1"/>
  <c r="B25" i="1" s="1"/>
  <c r="B27" i="1" s="1"/>
  <c r="B29" i="1" s="1"/>
  <c r="B31" i="1" s="1"/>
  <c r="N10" i="1"/>
  <c r="N9" i="1"/>
  <c r="N8" i="1"/>
  <c r="N7" i="1"/>
  <c r="D43" i="1" l="1"/>
  <c r="B33" i="1"/>
  <c r="B41" i="1" s="1"/>
  <c r="B43" i="1" s="1"/>
  <c r="N25" i="1"/>
  <c r="E43" i="1"/>
  <c r="F25" i="1"/>
  <c r="F27" i="1" s="1"/>
  <c r="F29" i="1" s="1"/>
  <c r="F31" i="1" s="1"/>
  <c r="F33" i="1" s="1"/>
  <c r="F41" i="1" s="1"/>
  <c r="F43" i="1" s="1"/>
  <c r="N31" i="1" l="1"/>
  <c r="N33" i="1" s="1"/>
  <c r="N41" i="1" s="1"/>
  <c r="N43" i="1" s="1"/>
</calcChain>
</file>

<file path=xl/sharedStrings.xml><?xml version="1.0" encoding="utf-8"?>
<sst xmlns="http://schemas.openxmlformats.org/spreadsheetml/2006/main" count="184" uniqueCount="171">
  <si>
    <t>CONTROL FISCAL MENSUAL - PERSONA FÍSICA</t>
  </si>
  <si>
    <t>Año:</t>
  </si>
  <si>
    <t>Régimen Fiscal:</t>
  </si>
  <si>
    <t>Sueldos y Salarios / Honorarios / Arrendamiento / RIF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</si>
  <si>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</si>
  <si>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</si>
  <si>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</si>
  <si>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</si>
  <si>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</si>
  <si>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</si>
  <si>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</si>
  <si>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</si>
  <si>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</si>
  <si>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</si>
  <si>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</si>
  <si>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</si>
  <si>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</si>
  <si>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</si>
  <si>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INGRESOS DEL PERÍODO</t>
  </si>
  <si>
    <t>Ingresos por sueldos y salarios</t>
  </si>
  <si>
    <t>Ingresos por honorarios</t>
  </si>
  <si>
    <t>Ingresos por arrendamiento</t>
  </si>
  <si>
    <t>Otros ingresos</t>
  </si>
  <si>
    <t>Total ingresos</t>
  </si>
  <si>
    <t>DEDUCCIONES PERSONALES</t>
  </si>
  <si>
    <t>Gastos médicos, dentales y hospitalarios</t>
  </si>
  <si>
    <t>Gastos funerarios</t>
  </si>
  <si>
    <t>Donativos</t>
  </si>
  <si>
    <t>Intereses reales de créditos hipotecarios</t>
  </si>
  <si>
    <t>Aportaciones complementarias de retiro</t>
  </si>
  <si>
    <t>Primas de seguros de gastos médicos</t>
  </si>
  <si>
    <t>Colegiaturas (niveles básico y medio superior)</t>
  </si>
  <si>
    <t>Total deducciones personales</t>
  </si>
  <si>
    <t>CÁLCULO DE ISR - PAGOS PROVISIONALES</t>
  </si>
  <si>
    <t>Ingresos acumulables</t>
  </si>
  <si>
    <t>(-) Deducciones acumuladas</t>
  </si>
  <si>
    <t>Base gravable acumulada</t>
  </si>
  <si>
    <t>(-) Límite inferior</t>
  </si>
  <si>
    <t>-</t>
  </si>
  <si>
    <t>Excedente del límite inferior</t>
  </si>
  <si>
    <t>(×) Tasa aplicable (%)</t>
  </si>
  <si>
    <t>Impuesto marginal</t>
  </si>
  <si>
    <t>(+) Cuota fija</t>
  </si>
  <si>
    <t>ISR según tarifa</t>
  </si>
  <si>
    <t>(-) ISR retenido</t>
  </si>
  <si>
    <t>ISR a pagar/(favor)</t>
  </si>
  <si>
    <t>CÁLCULO DE IVA</t>
  </si>
  <si>
    <t>IVA cobrado (trasladado)</t>
  </si>
  <si>
    <t>(-) IVA pagado (acreditable)</t>
  </si>
  <si>
    <t>IVA a pagar/(favor)</t>
  </si>
  <si>
    <t>RESUMEN DE OBLIGACIONES FISCALES</t>
  </si>
  <si>
    <t>ISR pagos provisionales</t>
  </si>
  <si>
    <t>IVA del período</t>
  </si>
  <si>
    <t>TOTAL OBLIGACIONES FISCALES</t>
  </si>
  <si>
    <t>SEMÁFORO DE CUMPLIMIENTO FISCAL</t>
  </si>
  <si>
    <t>Fecha límite de pago</t>
  </si>
  <si>
    <t>Fecha de pago realizado</t>
  </si>
  <si>
    <t>Estado de cumplimiento</t>
  </si>
  <si>
    <t>INSTRUCCIONES - CONTROL FISCAL PERSONA FÍSICA</t>
  </si>
  <si>
    <t>PROPÓSITO DEL FORMATO</t>
  </si>
  <si>
    <t>Este formato está diseñado específicamente para Personas Físicas que necesitan calcular sus pagos provisionales de ISR e IVA, considerando las deducciones personales permitidas por la ley y aplicando la tarifa del artículo 152 de la Ley del ISR.</t>
  </si>
  <si>
    <t>INFORMACIÓN INICIAL</t>
  </si>
  <si>
    <t>Año (B2):</t>
  </si>
  <si>
    <t>Ingrese el año fiscal</t>
  </si>
  <si>
    <t>Régimen Fiscal (B3):</t>
  </si>
  <si>
    <t>Especifique su actividad principal: Sueldos y Salarios, Honorarios (Servicios Profesionales), Arrendamiento, o RIF (Régimen de Incorporación Fiscal)</t>
  </si>
  <si>
    <t>SECCIÓN 1: INGRESOS DEL PERÍODO</t>
  </si>
  <si>
    <t>Ingrese sus ingresos mensuales según el tipo:</t>
  </si>
  <si>
    <t>Sueldos y salarios:</t>
  </si>
  <si>
    <t>Ingresos por relación laboral (antes de ISR retenido)</t>
  </si>
  <si>
    <t>Honorarios:</t>
  </si>
  <si>
    <t>Ingresos por servicios profesionales independientes</t>
  </si>
  <si>
    <t>Arrendamiento:</t>
  </si>
  <si>
    <t>Rentas cobradas por inmuebles</t>
  </si>
  <si>
    <t>Otros ingresos:</t>
  </si>
  <si>
    <t>Cualquier otro ingreso acumulable (intereses, premios, etc.)</t>
  </si>
  <si>
    <t>IMPORTANTE: Ingrese cantidades SIN IVA (el IVA se registra por separado)</t>
  </si>
  <si>
    <t>SECCIÓN 2: DEDUCCIONES PERSONALES</t>
  </si>
  <si>
    <t>Las deducciones personales solo aplican en la declaración anual, pero puede registrarlas mensualmente para proyección:</t>
  </si>
  <si>
    <t>Gastos médicos:</t>
  </si>
  <si>
    <t>Honorarios médicos, dentales, hospitalarios, análisis, estudios. Deben estar a su nombre, cónyuge o padres/hijos en línea recta</t>
  </si>
  <si>
    <t>Gastos funerarios:</t>
  </si>
  <si>
    <t>Límite de 1 UMA anual</t>
  </si>
  <si>
    <t>Donativos:</t>
  </si>
  <si>
    <t>A instituciones autorizadas, hasta 7% de ingresos acumulables</t>
  </si>
  <si>
    <t>Intereses hipotecarios:</t>
  </si>
  <si>
    <t>Solo intereses reales de crédito para casa habitación</t>
  </si>
  <si>
    <t>Aportaciones de retiro:</t>
  </si>
  <si>
    <t>Aportaciones complementarias y voluntarias al SAR</t>
  </si>
  <si>
    <t>Seguros médicos:</t>
  </si>
  <si>
    <t>Primas de seguros de gastos médicos complementarios</t>
  </si>
  <si>
    <t>Colegiaturas:</t>
  </si>
  <si>
    <t>Niveles preescolar, primaria, secundaria, preparatoria (límites por nivel según UMA)</t>
  </si>
  <si>
    <t>Límite total: El menor entre 5 UMAs anuales ($198,090 aprox. 2026) o 15% de ingresos</t>
  </si>
  <si>
    <t>SECCIÓN 3: CÁLCULO DE ISR - PAGOS PROVISIONALES</t>
  </si>
  <si>
    <t>El cálculo sigue la tarifa del artículo 152 LISR (tarifa progresiva):</t>
  </si>
  <si>
    <t>Base gravable acumulada:</t>
  </si>
  <si>
    <t>Ingresos acumulados - Deducciones acumuladas del año</t>
  </si>
  <si>
    <t>Límite inferior:</t>
  </si>
  <si>
    <t>Según tabla del SAT para el ingreso acumulado (consulte tarifa vigente)</t>
  </si>
  <si>
    <t>Excedente:</t>
  </si>
  <si>
    <t>Lo que rebasa el límite inferior</t>
  </si>
  <si>
    <t>Tasa aplicable:</t>
  </si>
  <si>
    <t>Porcentaje según el rango de la tabla (1.92% a 35%)</t>
  </si>
  <si>
    <t>Cuota fija:</t>
  </si>
  <si>
    <t>Cantidad fija según el rango de la tabla</t>
  </si>
  <si>
    <t>ISR según tarifa:</t>
  </si>
  <si>
    <t>Impuesto marginal + Cuota fija</t>
  </si>
  <si>
    <t>ISR retenido:</t>
  </si>
  <si>
    <t>Lo que le retuvieron (patrón, clientes) - usar constancia de retenciones</t>
  </si>
  <si>
    <t>ISR a pagar/(favor):</t>
  </si>
  <si>
    <t>Si es positivo paga, si es negativo tiene saldo a favor</t>
  </si>
  <si>
    <t>TABLA ISR 2026 (Referencia - verificar en SAT)</t>
  </si>
  <si>
    <t>Límite Inf. - Límite Sup. - Cuota Fija - Tasa</t>
  </si>
  <si>
    <t>$0.01 - $8,952.49 - $0.00 - 1.92%</t>
  </si>
  <si>
    <t>$8,952.50 - $75,984.55 - $171.88 - 6.40%</t>
  </si>
  <si>
    <t>$75,984.56 - $133,536.07 - $4,461.94 - 10.88%</t>
  </si>
  <si>
    <t>$133,536.08 - $155,229.80 - $10,723.55 - 16.00%</t>
  </si>
  <si>
    <t>$155,229.81 - $185,852.57 - $14,194.54 - 17.92%</t>
  </si>
  <si>
    <t>...y así hasta el último escalón</t>
  </si>
  <si>
    <t>CONSULTE la tabla completa actualizada en el SAT</t>
  </si>
  <si>
    <t>SECCIÓN 4: CÁLCULO DE IVA</t>
  </si>
  <si>
    <t>Solo aplica si realiza actividades empresariales o profesionales:</t>
  </si>
  <si>
    <t>IVA cobrado (trasladado):</t>
  </si>
  <si>
    <t>IVA que cobró a sus clientes (16% de sus ventas/servicios)</t>
  </si>
  <si>
    <t>IVA pagado (acreditable):</t>
  </si>
  <si>
    <t>IVA que pagó en compras/gastos relacionados con la actividad</t>
  </si>
  <si>
    <t>IVA a pagar/(favor):</t>
  </si>
  <si>
    <t>Diferencia - si es negativo, tiene IVA a favor</t>
  </si>
  <si>
    <t>NOTA: Sueldos y salarios NO causan IVA</t>
  </si>
  <si>
    <t>SECCIÓN 5: RESUMEN DE OBLIGACIONES</t>
  </si>
  <si>
    <t>Consolidado de lo que debe pagar:</t>
  </si>
  <si>
    <t>ISR pagos provisionales:</t>
  </si>
  <si>
    <t>Solo si es positivo - si es negativo se acumula el saldo a favor</t>
  </si>
  <si>
    <t>IVA del período:</t>
  </si>
  <si>
    <t>Solo si es positivo</t>
  </si>
  <si>
    <t>TOTAL OBLIGACIONES:</t>
  </si>
  <si>
    <t>Suma de ISR + IVA a pagar</t>
  </si>
  <si>
    <t>SECCIÓN 6: SEMÁFORO DE CUMPLIMIENTO</t>
  </si>
  <si>
    <t>Fecha límite:</t>
  </si>
  <si>
    <t>Generalmente día 17 del mes siguiente</t>
  </si>
  <si>
    <t>Fecha de pago:</t>
  </si>
  <si>
    <t>Cuando realizó el pago en el portal del SAT</t>
  </si>
  <si>
    <t>🟢 A TIEMPO:</t>
  </si>
  <si>
    <t>Cumplió en plazo</t>
  </si>
  <si>
    <t>🟡 PENDIENTE:</t>
  </si>
  <si>
    <t>No ha registrado pago</t>
  </si>
  <si>
    <t>🔴 TARDE:</t>
  </si>
  <si>
    <t>Pago extemporáneo - genera recargos y actualizaciones</t>
  </si>
  <si>
    <t>CALENDARIO FISCAL PERSONAS FÍSICAS</t>
  </si>
  <si>
    <t>Pagos provisionales mensuales:</t>
  </si>
  <si>
    <t>Día 17 del mes siguiente (honorarios, arrendamiento, empresarial)</t>
  </si>
  <si>
    <t>Declaración anual:</t>
  </si>
  <si>
    <t>Abril del año siguiente (todos los regímenes)</t>
  </si>
  <si>
    <t>En la declaración anual se aplican todas las deducciones personales y se hace el cálculo definitivo</t>
  </si>
  <si>
    <t>REGÍMENES ESPECIALES</t>
  </si>
  <si>
    <t>RIF (Régimen de Incorporación):</t>
  </si>
  <si>
    <t>Descuento gradual (100% año 1, 90% año 2, hasta 10% año 10)</t>
  </si>
  <si>
    <t>RESICO (desde 2022):</t>
  </si>
  <si>
    <t>Tasa fija sobre utilidad (1% hasta $300K, escala hasta 2.5%)</t>
  </si>
  <si>
    <t>RECOMENDACIONES</t>
  </si>
  <si>
    <t>✓</t>
  </si>
  <si>
    <t>Conserve todos sus CFDI (facturas) como respaldo</t>
  </si>
  <si>
    <t>Solicite factura de TODOS sus gastos deducibles</t>
  </si>
  <si>
    <t>Verifique que las deducciones personales estén a su nombre o dependientes económicos</t>
  </si>
  <si>
    <t>Revise la tabla de ISR vigente antes de llenar</t>
  </si>
  <si>
    <t>En declaración anual, el SAT precarga datos - verifique que coincidan</t>
  </si>
  <si>
    <t>Consulte con contador para optimizar deducciones</t>
  </si>
  <si>
    <t>Guarde acuses de recibo de todas sus declaraciones</t>
  </si>
  <si>
    <t>IMPORTANTE</t>
  </si>
  <si>
    <t>Este formato es una herramienta de control y proyección. Para presentar declaraciones oficiales debe usar el portal del SAT. La información fiscal puede cambiar cada año - verifique tablas y tasas vigentes. Consulte con un contador certificado para casos específicos o dudas.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</si>
</sst>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0\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6"/>
      <color rgb="FF1F4E78"/>
      <name val="Arial"/>
      <family val="2"/>
    </font>
    <font>
      <b/>
      <sz val="11"/>
      <color rgb="FF1F4E7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D9EAD3"/>
      </patternFill>
    </fill>
    <fill>
      <patternFill patternType="solid">
        <fgColor rgb="FF92D050"/>
        <bgColor rgb="FFC0C0C0"/>
      </patternFill>
    </fill>
    <fill>
      <patternFill patternType="solid">
        <fgColor rgb="FFD9EAD3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 applyAlignment="1">
      <alignment horizontal="center" vertical="center"/>
    </xf>
    <xf numFmtId="0" fontId="4" fillId="4" borderId="1" xfId="0" applyFont="1" applyFill="1" applyBorder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65" fontId="2" fillId="2" borderId="1" xfId="0" applyNumberFormat="1" applyFont="1" applyFill="1" applyBorder="1"/>
    <xf numFmtId="0" fontId="7" fillId="6" borderId="1" xfId="0" applyFont="1" applyFill="1" applyBorder="1"/>
    <xf numFmtId="164" fontId="7" fillId="7" borderId="1" xfId="0" applyNumberFormat="1" applyFont="1" applyFill="1" applyBorder="1"/>
    <xf numFmtId="0" fontId="7" fillId="8" borderId="1" xfId="0" applyFont="1" applyFill="1" applyBorder="1"/>
    <xf numFmtId="164" fontId="7" fillId="9" borderId="1" xfId="0" applyNumberFormat="1" applyFont="1" applyFill="1" applyBorder="1"/>
    <xf numFmtId="14" fontId="2" fillId="2" borderId="1" xfId="0" applyNumberFormat="1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zoomScaleNormal="100" workbookViewId="0">
      <selection sqref="A1:N1"/>
    </sheetView>
  </sheetViews>
  <sheetFormatPr baseColWidth="10" defaultColWidth="8.7109375" defaultRowHeight="15" x14ac:dyDescent="0.25"/>
  <cols>
    <col min="1" max="1" width="38" customWidth="1"/>
    <col min="2" max="14" width="11" customWidth="1"/>
  </cols>
  <sheetData>
    <row r="1" spans="1:14" ht="18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t="s">
        <v>1</v>
      </c>
      <c r="B2" s="5">
        <v>2026</v>
      </c>
    </row>
    <row r="3" spans="1:14" x14ac:dyDescent="0.25">
      <c r="A3" t="s">
        <v>2</v>
      </c>
      <c r="B3" s="3" t="s">
        <v>3</v>
      </c>
      <c r="C3" s="3"/>
      <c r="D3" s="3"/>
      <c r="E3" s="3"/>
    </row>
    <row r="5" spans="1:14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  <row r="6" spans="1:14" x14ac:dyDescent="0.25">
      <c r="A6" s="2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7" t="s">
        <v>19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9">
        <f>SUM(B7:M7)</f>
        <v>0</v>
      </c>
    </row>
    <row r="8" spans="1:14" x14ac:dyDescent="0.25">
      <c r="A8" s="7" t="s">
        <v>20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9">
        <f>SUM(B8:M8)</f>
        <v>0</v>
      </c>
    </row>
    <row r="9" spans="1:14" x14ac:dyDescent="0.25">
      <c r="A9" s="7" t="s">
        <v>21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9">
        <f>SUM(B9:M9)</f>
        <v>0</v>
      </c>
    </row>
    <row r="10" spans="1:14" x14ac:dyDescent="0.25">
      <c r="A10" s="7" t="s">
        <v>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9">
        <f>SUM(B10:M10)</f>
        <v>0</v>
      </c>
    </row>
    <row r="11" spans="1:14" x14ac:dyDescent="0.25">
      <c r="A11" s="10" t="s">
        <v>23</v>
      </c>
      <c r="B11" s="11">
        <f t="shared" ref="B11:N11" si="0">SUM(B7:B10)</f>
        <v>0</v>
      </c>
      <c r="C11" s="11">
        <f t="shared" si="0"/>
        <v>0</v>
      </c>
      <c r="D11" s="11">
        <f t="shared" si="0"/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</row>
    <row r="12" spans="1:1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2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7" t="s">
        <v>25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f t="shared" ref="N14:N20" si="1">SUM(B14:M14)</f>
        <v>0</v>
      </c>
    </row>
    <row r="15" spans="1:14" x14ac:dyDescent="0.25">
      <c r="A15" s="7" t="s">
        <v>26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f t="shared" si="1"/>
        <v>0</v>
      </c>
    </row>
    <row r="16" spans="1:14" x14ac:dyDescent="0.25">
      <c r="A16" s="7" t="s">
        <v>27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9">
        <f t="shared" si="1"/>
        <v>0</v>
      </c>
    </row>
    <row r="17" spans="1:14" x14ac:dyDescent="0.25">
      <c r="A17" s="7" t="s">
        <v>28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f t="shared" si="1"/>
        <v>0</v>
      </c>
    </row>
    <row r="18" spans="1:14" x14ac:dyDescent="0.25">
      <c r="A18" s="7" t="s">
        <v>29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9">
        <f t="shared" si="1"/>
        <v>0</v>
      </c>
    </row>
    <row r="19" spans="1:14" x14ac:dyDescent="0.25">
      <c r="A19" s="7" t="s">
        <v>30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9">
        <f t="shared" si="1"/>
        <v>0</v>
      </c>
    </row>
    <row r="20" spans="1:14" x14ac:dyDescent="0.25">
      <c r="A20" s="7" t="s">
        <v>31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9">
        <f t="shared" si="1"/>
        <v>0</v>
      </c>
    </row>
    <row r="21" spans="1:14" x14ac:dyDescent="0.25">
      <c r="A21" s="10" t="s">
        <v>32</v>
      </c>
      <c r="B21" s="11">
        <f t="shared" ref="B21:N21" si="2">SUM(B14:B20)</f>
        <v>0</v>
      </c>
      <c r="C21" s="11">
        <f t="shared" si="2"/>
        <v>0</v>
      </c>
      <c r="D21" s="11">
        <f t="shared" si="2"/>
        <v>0</v>
      </c>
      <c r="E21" s="11">
        <f t="shared" si="2"/>
        <v>0</v>
      </c>
      <c r="F21" s="11">
        <f t="shared" si="2"/>
        <v>0</v>
      </c>
      <c r="G21" s="11">
        <f t="shared" si="2"/>
        <v>0</v>
      </c>
      <c r="H21" s="11">
        <f t="shared" si="2"/>
        <v>0</v>
      </c>
      <c r="I21" s="11">
        <f t="shared" si="2"/>
        <v>0</v>
      </c>
      <c r="J21" s="11">
        <f t="shared" si="2"/>
        <v>0</v>
      </c>
      <c r="K21" s="11">
        <f t="shared" si="2"/>
        <v>0</v>
      </c>
      <c r="L21" s="11">
        <f t="shared" si="2"/>
        <v>0</v>
      </c>
      <c r="M21" s="11">
        <f t="shared" si="2"/>
        <v>0</v>
      </c>
      <c r="N21" s="11">
        <f t="shared" si="2"/>
        <v>0</v>
      </c>
    </row>
    <row r="22" spans="1:14" x14ac:dyDescent="0.25">
      <c r="A22" s="2" t="s">
        <v>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7" t="s">
        <v>34</v>
      </c>
      <c r="B23" s="9">
        <f t="shared" ref="B23:N23" si="3">B11</f>
        <v>0</v>
      </c>
      <c r="C23" s="9">
        <f t="shared" si="3"/>
        <v>0</v>
      </c>
      <c r="D23" s="9">
        <f t="shared" si="3"/>
        <v>0</v>
      </c>
      <c r="E23" s="9">
        <f t="shared" si="3"/>
        <v>0</v>
      </c>
      <c r="F23" s="9">
        <f t="shared" si="3"/>
        <v>0</v>
      </c>
      <c r="G23" s="9">
        <f t="shared" si="3"/>
        <v>0</v>
      </c>
      <c r="H23" s="9">
        <f t="shared" si="3"/>
        <v>0</v>
      </c>
      <c r="I23" s="9">
        <f t="shared" si="3"/>
        <v>0</v>
      </c>
      <c r="J23" s="9">
        <f t="shared" si="3"/>
        <v>0</v>
      </c>
      <c r="K23" s="9">
        <f t="shared" si="3"/>
        <v>0</v>
      </c>
      <c r="L23" s="9">
        <f t="shared" si="3"/>
        <v>0</v>
      </c>
      <c r="M23" s="9">
        <f t="shared" si="3"/>
        <v>0</v>
      </c>
      <c r="N23" s="9">
        <f t="shared" si="3"/>
        <v>0</v>
      </c>
    </row>
    <row r="24" spans="1:14" x14ac:dyDescent="0.25">
      <c r="A24" s="7" t="s">
        <v>35</v>
      </c>
      <c r="B24" s="9">
        <f t="shared" ref="B24:N24" si="4">B21</f>
        <v>0</v>
      </c>
      <c r="C24" s="9">
        <f t="shared" si="4"/>
        <v>0</v>
      </c>
      <c r="D24" s="9">
        <f t="shared" si="4"/>
        <v>0</v>
      </c>
      <c r="E24" s="9">
        <f t="shared" si="4"/>
        <v>0</v>
      </c>
      <c r="F24" s="9">
        <f t="shared" si="4"/>
        <v>0</v>
      </c>
      <c r="G24" s="9">
        <f t="shared" si="4"/>
        <v>0</v>
      </c>
      <c r="H24" s="9">
        <f t="shared" si="4"/>
        <v>0</v>
      </c>
      <c r="I24" s="9">
        <f t="shared" si="4"/>
        <v>0</v>
      </c>
      <c r="J24" s="9">
        <f t="shared" si="4"/>
        <v>0</v>
      </c>
      <c r="K24" s="9">
        <f t="shared" si="4"/>
        <v>0</v>
      </c>
      <c r="L24" s="9">
        <f t="shared" si="4"/>
        <v>0</v>
      </c>
      <c r="M24" s="9">
        <f t="shared" si="4"/>
        <v>0</v>
      </c>
      <c r="N24" s="9">
        <f t="shared" si="4"/>
        <v>0</v>
      </c>
    </row>
    <row r="25" spans="1:14" x14ac:dyDescent="0.25">
      <c r="A25" s="10" t="s">
        <v>36</v>
      </c>
      <c r="B25" s="11">
        <f t="shared" ref="B25:N25" si="5">B23-B24</f>
        <v>0</v>
      </c>
      <c r="C25" s="11">
        <f t="shared" si="5"/>
        <v>0</v>
      </c>
      <c r="D25" s="11">
        <f t="shared" si="5"/>
        <v>0</v>
      </c>
      <c r="E25" s="11">
        <f t="shared" si="5"/>
        <v>0</v>
      </c>
      <c r="F25" s="11">
        <f t="shared" si="5"/>
        <v>0</v>
      </c>
      <c r="G25" s="11">
        <f t="shared" si="5"/>
        <v>0</v>
      </c>
      <c r="H25" s="11">
        <f t="shared" si="5"/>
        <v>0</v>
      </c>
      <c r="I25" s="11">
        <f t="shared" si="5"/>
        <v>0</v>
      </c>
      <c r="J25" s="11">
        <f t="shared" si="5"/>
        <v>0</v>
      </c>
      <c r="K25" s="11">
        <f t="shared" si="5"/>
        <v>0</v>
      </c>
      <c r="L25" s="11">
        <f t="shared" si="5"/>
        <v>0</v>
      </c>
      <c r="M25" s="11">
        <f t="shared" si="5"/>
        <v>0</v>
      </c>
      <c r="N25" s="11">
        <f t="shared" si="5"/>
        <v>0</v>
      </c>
    </row>
    <row r="26" spans="1:14" x14ac:dyDescent="0.25">
      <c r="A26" s="7" t="s">
        <v>37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13" t="s">
        <v>38</v>
      </c>
    </row>
    <row r="27" spans="1:14" x14ac:dyDescent="0.25">
      <c r="A27" s="7" t="s">
        <v>39</v>
      </c>
      <c r="B27" s="9">
        <f t="shared" ref="B27:M27" si="6">MAX(B25-B26,0)</f>
        <v>0</v>
      </c>
      <c r="C27" s="9">
        <f t="shared" si="6"/>
        <v>0</v>
      </c>
      <c r="D27" s="9">
        <f t="shared" si="6"/>
        <v>0</v>
      </c>
      <c r="E27" s="9">
        <f t="shared" si="6"/>
        <v>0</v>
      </c>
      <c r="F27" s="9">
        <f t="shared" si="6"/>
        <v>0</v>
      </c>
      <c r="G27" s="9">
        <f t="shared" si="6"/>
        <v>0</v>
      </c>
      <c r="H27" s="9">
        <f t="shared" si="6"/>
        <v>0</v>
      </c>
      <c r="I27" s="9">
        <f t="shared" si="6"/>
        <v>0</v>
      </c>
      <c r="J27" s="9">
        <f t="shared" si="6"/>
        <v>0</v>
      </c>
      <c r="K27" s="9">
        <f t="shared" si="6"/>
        <v>0</v>
      </c>
      <c r="L27" s="9">
        <f t="shared" si="6"/>
        <v>0</v>
      </c>
      <c r="M27" s="9">
        <f t="shared" si="6"/>
        <v>0</v>
      </c>
      <c r="N27" s="13" t="s">
        <v>38</v>
      </c>
    </row>
    <row r="28" spans="1:14" x14ac:dyDescent="0.25">
      <c r="A28" s="7" t="s">
        <v>40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3" t="s">
        <v>38</v>
      </c>
    </row>
    <row r="29" spans="1:14" x14ac:dyDescent="0.25">
      <c r="A29" s="7" t="s">
        <v>41</v>
      </c>
      <c r="B29" s="9">
        <f t="shared" ref="B29:M29" si="7">B27*B28</f>
        <v>0</v>
      </c>
      <c r="C29" s="9">
        <f t="shared" si="7"/>
        <v>0</v>
      </c>
      <c r="D29" s="9">
        <f t="shared" si="7"/>
        <v>0</v>
      </c>
      <c r="E29" s="9">
        <f t="shared" si="7"/>
        <v>0</v>
      </c>
      <c r="F29" s="9">
        <f t="shared" si="7"/>
        <v>0</v>
      </c>
      <c r="G29" s="9">
        <f t="shared" si="7"/>
        <v>0</v>
      </c>
      <c r="H29" s="9">
        <f t="shared" si="7"/>
        <v>0</v>
      </c>
      <c r="I29" s="9">
        <f t="shared" si="7"/>
        <v>0</v>
      </c>
      <c r="J29" s="9">
        <f t="shared" si="7"/>
        <v>0</v>
      </c>
      <c r="K29" s="9">
        <f t="shared" si="7"/>
        <v>0</v>
      </c>
      <c r="L29" s="9">
        <f t="shared" si="7"/>
        <v>0</v>
      </c>
      <c r="M29" s="9">
        <f t="shared" si="7"/>
        <v>0</v>
      </c>
      <c r="N29" s="13" t="s">
        <v>38</v>
      </c>
    </row>
    <row r="30" spans="1:14" x14ac:dyDescent="0.25">
      <c r="A30" s="7" t="s">
        <v>42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13" t="s">
        <v>38</v>
      </c>
    </row>
    <row r="31" spans="1:14" x14ac:dyDescent="0.25">
      <c r="A31" s="10" t="s">
        <v>43</v>
      </c>
      <c r="B31" s="11">
        <f t="shared" ref="B31:M31" si="8">B29+B30</f>
        <v>0</v>
      </c>
      <c r="C31" s="11">
        <f t="shared" si="8"/>
        <v>0</v>
      </c>
      <c r="D31" s="11">
        <f t="shared" si="8"/>
        <v>0</v>
      </c>
      <c r="E31" s="11">
        <f t="shared" si="8"/>
        <v>0</v>
      </c>
      <c r="F31" s="11">
        <f t="shared" si="8"/>
        <v>0</v>
      </c>
      <c r="G31" s="11">
        <f t="shared" si="8"/>
        <v>0</v>
      </c>
      <c r="H31" s="11">
        <f t="shared" si="8"/>
        <v>0</v>
      </c>
      <c r="I31" s="11">
        <f t="shared" si="8"/>
        <v>0</v>
      </c>
      <c r="J31" s="11">
        <f t="shared" si="8"/>
        <v>0</v>
      </c>
      <c r="K31" s="11">
        <f t="shared" si="8"/>
        <v>0</v>
      </c>
      <c r="L31" s="11">
        <f t="shared" si="8"/>
        <v>0</v>
      </c>
      <c r="M31" s="11">
        <f t="shared" si="8"/>
        <v>0</v>
      </c>
      <c r="N31" s="9">
        <f>SUM(B31:M31)</f>
        <v>0</v>
      </c>
    </row>
    <row r="32" spans="1:14" x14ac:dyDescent="0.25">
      <c r="A32" s="7" t="s">
        <v>44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f>SUM(B32:M32)</f>
        <v>0</v>
      </c>
    </row>
    <row r="33" spans="1:14" x14ac:dyDescent="0.25">
      <c r="A33" s="15" t="s">
        <v>45</v>
      </c>
      <c r="B33" s="16">
        <f t="shared" ref="B33:N33" si="9">B31-B32</f>
        <v>0</v>
      </c>
      <c r="C33" s="16">
        <f t="shared" si="9"/>
        <v>0</v>
      </c>
      <c r="D33" s="16">
        <f t="shared" si="9"/>
        <v>0</v>
      </c>
      <c r="E33" s="16">
        <f t="shared" si="9"/>
        <v>0</v>
      </c>
      <c r="F33" s="16">
        <f t="shared" si="9"/>
        <v>0</v>
      </c>
      <c r="G33" s="16">
        <f t="shared" si="9"/>
        <v>0</v>
      </c>
      <c r="H33" s="16">
        <f t="shared" si="9"/>
        <v>0</v>
      </c>
      <c r="I33" s="16">
        <f t="shared" si="9"/>
        <v>0</v>
      </c>
      <c r="J33" s="16">
        <f t="shared" si="9"/>
        <v>0</v>
      </c>
      <c r="K33" s="16">
        <f t="shared" si="9"/>
        <v>0</v>
      </c>
      <c r="L33" s="16">
        <f t="shared" si="9"/>
        <v>0</v>
      </c>
      <c r="M33" s="16">
        <f t="shared" si="9"/>
        <v>0</v>
      </c>
      <c r="N33" s="16">
        <f t="shared" si="9"/>
        <v>0</v>
      </c>
    </row>
    <row r="34" spans="1:14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2" t="s">
        <v>46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7" t="s">
        <v>47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9">
        <f>SUM(B36:M36)</f>
        <v>0</v>
      </c>
    </row>
    <row r="37" spans="1:14" x14ac:dyDescent="0.25">
      <c r="A37" s="7" t="s">
        <v>48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9">
        <f>SUM(B37:M37)</f>
        <v>0</v>
      </c>
    </row>
    <row r="38" spans="1:14" x14ac:dyDescent="0.25">
      <c r="A38" s="15" t="s">
        <v>49</v>
      </c>
      <c r="B38" s="16">
        <f t="shared" ref="B38:N38" si="10">B36-B37</f>
        <v>0</v>
      </c>
      <c r="C38" s="16">
        <f t="shared" si="10"/>
        <v>0</v>
      </c>
      <c r="D38" s="16">
        <f t="shared" si="10"/>
        <v>0</v>
      </c>
      <c r="E38" s="16">
        <f t="shared" si="10"/>
        <v>0</v>
      </c>
      <c r="F38" s="16">
        <f t="shared" si="10"/>
        <v>0</v>
      </c>
      <c r="G38" s="16">
        <f t="shared" si="10"/>
        <v>0</v>
      </c>
      <c r="H38" s="16">
        <f t="shared" si="10"/>
        <v>0</v>
      </c>
      <c r="I38" s="16">
        <f t="shared" si="10"/>
        <v>0</v>
      </c>
      <c r="J38" s="16">
        <f t="shared" si="10"/>
        <v>0</v>
      </c>
      <c r="K38" s="16">
        <f t="shared" si="10"/>
        <v>0</v>
      </c>
      <c r="L38" s="16">
        <f t="shared" si="10"/>
        <v>0</v>
      </c>
      <c r="M38" s="16">
        <f t="shared" si="10"/>
        <v>0</v>
      </c>
      <c r="N38" s="16">
        <f t="shared" si="10"/>
        <v>0</v>
      </c>
    </row>
    <row r="39" spans="1:14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25">
      <c r="A40" s="2" t="s">
        <v>50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7" t="s">
        <v>51</v>
      </c>
      <c r="B41" s="9">
        <f t="shared" ref="B41:N41" si="11">B33</f>
        <v>0</v>
      </c>
      <c r="C41" s="9">
        <f t="shared" si="11"/>
        <v>0</v>
      </c>
      <c r="D41" s="9">
        <f t="shared" si="11"/>
        <v>0</v>
      </c>
      <c r="E41" s="9">
        <f t="shared" si="11"/>
        <v>0</v>
      </c>
      <c r="F41" s="9">
        <f t="shared" si="11"/>
        <v>0</v>
      </c>
      <c r="G41" s="9">
        <f t="shared" si="11"/>
        <v>0</v>
      </c>
      <c r="H41" s="9">
        <f t="shared" si="11"/>
        <v>0</v>
      </c>
      <c r="I41" s="9">
        <f t="shared" si="11"/>
        <v>0</v>
      </c>
      <c r="J41" s="9">
        <f t="shared" si="11"/>
        <v>0</v>
      </c>
      <c r="K41" s="9">
        <f t="shared" si="11"/>
        <v>0</v>
      </c>
      <c r="L41" s="9">
        <f t="shared" si="11"/>
        <v>0</v>
      </c>
      <c r="M41" s="9">
        <f t="shared" si="11"/>
        <v>0</v>
      </c>
      <c r="N41" s="9">
        <f t="shared" si="11"/>
        <v>0</v>
      </c>
    </row>
    <row r="42" spans="1:14" x14ac:dyDescent="0.25">
      <c r="A42" s="7" t="s">
        <v>52</v>
      </c>
      <c r="B42" s="9">
        <f t="shared" ref="B42:N42" si="12">B38</f>
        <v>0</v>
      </c>
      <c r="C42" s="9">
        <f t="shared" si="12"/>
        <v>0</v>
      </c>
      <c r="D42" s="9">
        <f t="shared" si="12"/>
        <v>0</v>
      </c>
      <c r="E42" s="9">
        <f t="shared" si="12"/>
        <v>0</v>
      </c>
      <c r="F42" s="9">
        <f t="shared" si="12"/>
        <v>0</v>
      </c>
      <c r="G42" s="9">
        <f t="shared" si="12"/>
        <v>0</v>
      </c>
      <c r="H42" s="9">
        <f t="shared" si="12"/>
        <v>0</v>
      </c>
      <c r="I42" s="9">
        <f t="shared" si="12"/>
        <v>0</v>
      </c>
      <c r="J42" s="9">
        <f t="shared" si="12"/>
        <v>0</v>
      </c>
      <c r="K42" s="9">
        <f t="shared" si="12"/>
        <v>0</v>
      </c>
      <c r="L42" s="9">
        <f t="shared" si="12"/>
        <v>0</v>
      </c>
      <c r="M42" s="9">
        <f t="shared" si="12"/>
        <v>0</v>
      </c>
      <c r="N42" s="9">
        <f t="shared" si="12"/>
        <v>0</v>
      </c>
    </row>
    <row r="43" spans="1:14" x14ac:dyDescent="0.25">
      <c r="A43" s="17" t="s">
        <v>53</v>
      </c>
      <c r="B43" s="18">
        <f t="shared" ref="B43:N43" si="13">B41+B42</f>
        <v>0</v>
      </c>
      <c r="C43" s="18">
        <f t="shared" si="13"/>
        <v>0</v>
      </c>
      <c r="D43" s="18">
        <f t="shared" si="13"/>
        <v>0</v>
      </c>
      <c r="E43" s="18">
        <f t="shared" si="13"/>
        <v>0</v>
      </c>
      <c r="F43" s="18">
        <f t="shared" si="13"/>
        <v>0</v>
      </c>
      <c r="G43" s="18">
        <f t="shared" si="13"/>
        <v>0</v>
      </c>
      <c r="H43" s="18">
        <f t="shared" si="13"/>
        <v>0</v>
      </c>
      <c r="I43" s="18">
        <f t="shared" si="13"/>
        <v>0</v>
      </c>
      <c r="J43" s="18">
        <f t="shared" si="13"/>
        <v>0</v>
      </c>
      <c r="K43" s="18">
        <f t="shared" si="13"/>
        <v>0</v>
      </c>
      <c r="L43" s="18">
        <f t="shared" si="13"/>
        <v>0</v>
      </c>
      <c r="M43" s="18">
        <f t="shared" si="13"/>
        <v>0</v>
      </c>
      <c r="N43" s="18">
        <f t="shared" si="13"/>
        <v>0</v>
      </c>
    </row>
    <row r="44" spans="1:14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7" t="s">
        <v>55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3" t="s">
        <v>38</v>
      </c>
    </row>
    <row r="47" spans="1:14" x14ac:dyDescent="0.25">
      <c r="A47" s="7" t="s">
        <v>56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3" t="s">
        <v>38</v>
      </c>
    </row>
    <row r="48" spans="1:14" x14ac:dyDescent="0.25">
      <c r="A48" s="20" t="s">
        <v>57</v>
      </c>
      <c r="B48" s="21" t="str">
        <f t="shared" ref="B48:M48" si="14">IF(B47="","PENDIENTE",IF(B47&lt;=B46,"A TIEMPO","TARDE"))</f>
        <v>PENDIENTE</v>
      </c>
      <c r="C48" s="21" t="str">
        <f t="shared" si="14"/>
        <v>PENDIENTE</v>
      </c>
      <c r="D48" s="21" t="str">
        <f t="shared" si="14"/>
        <v>PENDIENTE</v>
      </c>
      <c r="E48" s="21" t="str">
        <f t="shared" si="14"/>
        <v>PENDIENTE</v>
      </c>
      <c r="F48" s="21" t="str">
        <f t="shared" si="14"/>
        <v>PENDIENTE</v>
      </c>
      <c r="G48" s="21" t="str">
        <f t="shared" si="14"/>
        <v>PENDIENTE</v>
      </c>
      <c r="H48" s="21" t="str">
        <f t="shared" si="14"/>
        <v>PENDIENTE</v>
      </c>
      <c r="I48" s="21" t="str">
        <f t="shared" si="14"/>
        <v>PENDIENTE</v>
      </c>
      <c r="J48" s="21" t="str">
        <f t="shared" si="14"/>
        <v>PENDIENTE</v>
      </c>
      <c r="K48" s="21" t="str">
        <f t="shared" si="14"/>
        <v>PENDIENTE</v>
      </c>
      <c r="L48" s="21" t="str">
        <f t="shared" si="14"/>
        <v>PENDIENTE</v>
      </c>
      <c r="M48" s="21" t="str">
        <f t="shared" si="14"/>
        <v>PENDIENTE</v>
      </c>
      <c r="N48" s="13" t="s">
        <v>38</v>
      </c>
    </row>
  </sheetData>
  <mergeCells count="8">
    <mergeCell ref="A35:N35"/>
    <mergeCell ref="A40:N40"/>
    <mergeCell ref="A45:N45"/>
    <mergeCell ref="A1:N1"/>
    <mergeCell ref="B3:E3"/>
    <mergeCell ref="A6:N6"/>
    <mergeCell ref="A13:N13"/>
    <mergeCell ref="A22:N22"/>
  </mergeCells>
  <conditionalFormatting sqref="B48:M48">
    <cfRule type="cellIs" dxfId="2" priority="2" operator="equal">
      <formula>"A TIEMPO"</formula>
    </cfRule>
    <cfRule type="cellIs" dxfId="1" priority="3" operator="equal">
      <formula>"PENDIENTE"</formula>
    </cfRule>
    <cfRule type="cellIs" dxfId="0" priority="4" operator="equal">
      <formula>"TARDE"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zoomScaleNormal="100" workbookViewId="0"/>
  </sheetViews>
  <sheetFormatPr baseColWidth="10" defaultColWidth="8.7109375" defaultRowHeight="15" x14ac:dyDescent="0.25"/>
  <cols>
    <col min="1" max="1" width="38" customWidth="1"/>
    <col min="2" max="2" width="2" customWidth="1"/>
    <col min="3" max="3" width="75" customWidth="1"/>
    <col min="4" max="4" width="2" customWidth="1"/>
  </cols>
  <sheetData>
    <row r="1" spans="1:4" ht="24.75" customHeight="1" x14ac:dyDescent="0.25">
      <c r="A1" s="1" t="s">
        <v>58</v>
      </c>
      <c r="B1" s="1"/>
      <c r="C1" s="1"/>
      <c r="D1" s="1"/>
    </row>
    <row r="3" spans="1:4" ht="18" customHeight="1" x14ac:dyDescent="0.25">
      <c r="A3" s="22" t="s">
        <v>59</v>
      </c>
      <c r="C3" s="23"/>
    </row>
    <row r="4" spans="1:4" ht="18" customHeight="1" x14ac:dyDescent="0.25">
      <c r="A4" s="23"/>
      <c r="C4" s="23" t="s">
        <v>60</v>
      </c>
    </row>
    <row r="5" spans="1:4" ht="18" customHeight="1" x14ac:dyDescent="0.25">
      <c r="A5" s="23"/>
      <c r="C5" s="23"/>
    </row>
    <row r="6" spans="1:4" ht="18" customHeight="1" x14ac:dyDescent="0.25">
      <c r="A6" s="22" t="s">
        <v>61</v>
      </c>
      <c r="C6" s="23"/>
    </row>
    <row r="7" spans="1:4" ht="18" customHeight="1" x14ac:dyDescent="0.25">
      <c r="A7" s="24" t="s">
        <v>62</v>
      </c>
      <c r="C7" s="23" t="s">
        <v>63</v>
      </c>
    </row>
    <row r="8" spans="1:4" ht="18" customHeight="1" x14ac:dyDescent="0.25">
      <c r="A8" s="24" t="s">
        <v>64</v>
      </c>
      <c r="C8" s="23" t="s">
        <v>65</v>
      </c>
    </row>
    <row r="9" spans="1:4" ht="18" customHeight="1" x14ac:dyDescent="0.25">
      <c r="A9" s="23"/>
      <c r="C9" s="23"/>
    </row>
    <row r="10" spans="1:4" ht="18" customHeight="1" x14ac:dyDescent="0.25">
      <c r="A10" s="22" t="s">
        <v>66</v>
      </c>
      <c r="C10" s="23"/>
    </row>
    <row r="11" spans="1:4" ht="18" customHeight="1" x14ac:dyDescent="0.25">
      <c r="A11" s="23"/>
      <c r="C11" s="23" t="s">
        <v>67</v>
      </c>
    </row>
    <row r="12" spans="1:4" ht="18" customHeight="1" x14ac:dyDescent="0.25">
      <c r="A12" s="24" t="s">
        <v>68</v>
      </c>
      <c r="C12" s="23" t="s">
        <v>69</v>
      </c>
    </row>
    <row r="13" spans="1:4" ht="18" customHeight="1" x14ac:dyDescent="0.25">
      <c r="A13" s="24" t="s">
        <v>70</v>
      </c>
      <c r="C13" s="23" t="s">
        <v>71</v>
      </c>
    </row>
    <row r="14" spans="1:4" ht="18" customHeight="1" x14ac:dyDescent="0.25">
      <c r="A14" s="24" t="s">
        <v>72</v>
      </c>
      <c r="C14" s="23" t="s">
        <v>73</v>
      </c>
    </row>
    <row r="15" spans="1:4" ht="18" customHeight="1" x14ac:dyDescent="0.25">
      <c r="A15" s="24" t="s">
        <v>74</v>
      </c>
      <c r="C15" s="23" t="s">
        <v>75</v>
      </c>
    </row>
    <row r="16" spans="1:4" ht="18" customHeight="1" x14ac:dyDescent="0.25">
      <c r="A16" s="23"/>
      <c r="C16" s="23" t="s">
        <v>76</v>
      </c>
    </row>
    <row r="17" spans="1:3" ht="18" customHeight="1" x14ac:dyDescent="0.25">
      <c r="A17" s="23"/>
      <c r="C17" s="23"/>
    </row>
    <row r="18" spans="1:3" ht="18" customHeight="1" x14ac:dyDescent="0.25">
      <c r="A18" s="22" t="s">
        <v>77</v>
      </c>
      <c r="C18" s="23"/>
    </row>
    <row r="19" spans="1:3" ht="18" customHeight="1" x14ac:dyDescent="0.25">
      <c r="A19" s="23"/>
      <c r="C19" s="23" t="s">
        <v>78</v>
      </c>
    </row>
    <row r="20" spans="1:3" ht="18" customHeight="1" x14ac:dyDescent="0.25">
      <c r="A20" s="24" t="s">
        <v>79</v>
      </c>
      <c r="C20" s="23" t="s">
        <v>80</v>
      </c>
    </row>
    <row r="21" spans="1:3" ht="18" customHeight="1" x14ac:dyDescent="0.25">
      <c r="A21" s="24" t="s">
        <v>81</v>
      </c>
      <c r="C21" s="23" t="s">
        <v>82</v>
      </c>
    </row>
    <row r="22" spans="1:3" ht="18" customHeight="1" x14ac:dyDescent="0.25">
      <c r="A22" s="24" t="s">
        <v>83</v>
      </c>
      <c r="C22" s="23" t="s">
        <v>84</v>
      </c>
    </row>
    <row r="23" spans="1:3" ht="18" customHeight="1" x14ac:dyDescent="0.25">
      <c r="A23" s="24" t="s">
        <v>85</v>
      </c>
      <c r="C23" s="23" t="s">
        <v>86</v>
      </c>
    </row>
    <row r="24" spans="1:3" ht="18" customHeight="1" x14ac:dyDescent="0.25">
      <c r="A24" s="24" t="s">
        <v>87</v>
      </c>
      <c r="C24" s="23" t="s">
        <v>88</v>
      </c>
    </row>
    <row r="25" spans="1:3" ht="18" customHeight="1" x14ac:dyDescent="0.25">
      <c r="A25" s="24" t="s">
        <v>89</v>
      </c>
      <c r="C25" s="23" t="s">
        <v>90</v>
      </c>
    </row>
    <row r="26" spans="1:3" ht="18" customHeight="1" x14ac:dyDescent="0.25">
      <c r="A26" s="24" t="s">
        <v>91</v>
      </c>
      <c r="C26" s="23" t="s">
        <v>92</v>
      </c>
    </row>
    <row r="27" spans="1:3" ht="18" customHeight="1" x14ac:dyDescent="0.25">
      <c r="A27" s="23"/>
      <c r="C27" s="23" t="s">
        <v>93</v>
      </c>
    </row>
    <row r="28" spans="1:3" ht="18" customHeight="1" x14ac:dyDescent="0.25">
      <c r="A28" s="23"/>
      <c r="C28" s="23"/>
    </row>
    <row r="29" spans="1:3" ht="18" customHeight="1" x14ac:dyDescent="0.25">
      <c r="A29" s="22" t="s">
        <v>94</v>
      </c>
      <c r="C29" s="23"/>
    </row>
    <row r="30" spans="1:3" ht="18" customHeight="1" x14ac:dyDescent="0.25">
      <c r="A30" s="23"/>
      <c r="C30" s="23" t="s">
        <v>95</v>
      </c>
    </row>
    <row r="31" spans="1:3" ht="18" customHeight="1" x14ac:dyDescent="0.25">
      <c r="A31" s="24" t="s">
        <v>96</v>
      </c>
      <c r="C31" s="23" t="s">
        <v>97</v>
      </c>
    </row>
    <row r="32" spans="1:3" ht="18" customHeight="1" x14ac:dyDescent="0.25">
      <c r="A32" s="24" t="s">
        <v>98</v>
      </c>
      <c r="C32" s="23" t="s">
        <v>99</v>
      </c>
    </row>
    <row r="33" spans="1:3" ht="18" customHeight="1" x14ac:dyDescent="0.25">
      <c r="A33" s="24" t="s">
        <v>100</v>
      </c>
      <c r="C33" s="23" t="s">
        <v>101</v>
      </c>
    </row>
    <row r="34" spans="1:3" ht="18" customHeight="1" x14ac:dyDescent="0.25">
      <c r="A34" s="24" t="s">
        <v>102</v>
      </c>
      <c r="C34" s="23" t="s">
        <v>103</v>
      </c>
    </row>
    <row r="35" spans="1:3" ht="18" customHeight="1" x14ac:dyDescent="0.25">
      <c r="A35" s="24" t="s">
        <v>104</v>
      </c>
      <c r="C35" s="23" t="s">
        <v>105</v>
      </c>
    </row>
    <row r="36" spans="1:3" ht="18" customHeight="1" x14ac:dyDescent="0.25">
      <c r="A36" s="24" t="s">
        <v>106</v>
      </c>
      <c r="C36" s="23" t="s">
        <v>107</v>
      </c>
    </row>
    <row r="37" spans="1:3" ht="18" customHeight="1" x14ac:dyDescent="0.25">
      <c r="A37" s="24" t="s">
        <v>108</v>
      </c>
      <c r="C37" s="23" t="s">
        <v>109</v>
      </c>
    </row>
    <row r="38" spans="1:3" ht="18" customHeight="1" x14ac:dyDescent="0.25">
      <c r="A38" s="24" t="s">
        <v>110</v>
      </c>
      <c r="C38" s="23" t="s">
        <v>111</v>
      </c>
    </row>
    <row r="39" spans="1:3" ht="18" customHeight="1" x14ac:dyDescent="0.25">
      <c r="A39" s="23"/>
      <c r="C39" s="23"/>
    </row>
    <row r="40" spans="1:3" ht="18" customHeight="1" x14ac:dyDescent="0.25">
      <c r="A40" s="22" t="s">
        <v>112</v>
      </c>
      <c r="C40" s="23"/>
    </row>
    <row r="41" spans="1:3" ht="18" customHeight="1" x14ac:dyDescent="0.25">
      <c r="A41" s="22" t="s">
        <v>113</v>
      </c>
      <c r="C41" s="23"/>
    </row>
    <row r="42" spans="1:3" ht="18" customHeight="1" x14ac:dyDescent="0.25">
      <c r="A42" s="22" t="s">
        <v>114</v>
      </c>
      <c r="C42" s="23"/>
    </row>
    <row r="43" spans="1:3" ht="18" customHeight="1" x14ac:dyDescent="0.25">
      <c r="A43" s="22" t="s">
        <v>115</v>
      </c>
      <c r="C43" s="23"/>
    </row>
    <row r="44" spans="1:3" ht="18" customHeight="1" x14ac:dyDescent="0.25">
      <c r="A44" s="22" t="s">
        <v>116</v>
      </c>
      <c r="C44" s="23"/>
    </row>
    <row r="45" spans="1:3" ht="18" customHeight="1" x14ac:dyDescent="0.25">
      <c r="A45" s="22" t="s">
        <v>117</v>
      </c>
      <c r="C45" s="23"/>
    </row>
    <row r="46" spans="1:3" ht="18" customHeight="1" x14ac:dyDescent="0.25">
      <c r="A46" s="22" t="s">
        <v>118</v>
      </c>
      <c r="C46" s="23"/>
    </row>
    <row r="47" spans="1:3" ht="18" customHeight="1" x14ac:dyDescent="0.25">
      <c r="A47" s="23" t="s">
        <v>119</v>
      </c>
      <c r="C47" s="23"/>
    </row>
    <row r="48" spans="1:3" ht="18" customHeight="1" x14ac:dyDescent="0.25">
      <c r="A48" s="23"/>
      <c r="C48" s="23" t="s">
        <v>120</v>
      </c>
    </row>
    <row r="49" spans="1:3" ht="18" customHeight="1" x14ac:dyDescent="0.25">
      <c r="A49" s="23"/>
      <c r="C49" s="23"/>
    </row>
    <row r="50" spans="1:3" ht="18" customHeight="1" x14ac:dyDescent="0.25">
      <c r="A50" s="22" t="s">
        <v>121</v>
      </c>
      <c r="C50" s="23"/>
    </row>
    <row r="51" spans="1:3" ht="18" customHeight="1" x14ac:dyDescent="0.25">
      <c r="A51" s="23"/>
      <c r="C51" s="23" t="s">
        <v>122</v>
      </c>
    </row>
    <row r="52" spans="1:3" ht="18" customHeight="1" x14ac:dyDescent="0.25">
      <c r="A52" s="24" t="s">
        <v>123</v>
      </c>
      <c r="C52" s="23" t="s">
        <v>124</v>
      </c>
    </row>
    <row r="53" spans="1:3" ht="18" customHeight="1" x14ac:dyDescent="0.25">
      <c r="A53" s="24" t="s">
        <v>125</v>
      </c>
      <c r="C53" s="23" t="s">
        <v>126</v>
      </c>
    </row>
    <row r="54" spans="1:3" ht="18" customHeight="1" x14ac:dyDescent="0.25">
      <c r="A54" s="24" t="s">
        <v>127</v>
      </c>
      <c r="C54" s="23" t="s">
        <v>128</v>
      </c>
    </row>
    <row r="55" spans="1:3" ht="18" customHeight="1" x14ac:dyDescent="0.25">
      <c r="A55" s="23"/>
      <c r="C55" s="23" t="s">
        <v>129</v>
      </c>
    </row>
    <row r="56" spans="1:3" ht="18" customHeight="1" x14ac:dyDescent="0.25">
      <c r="A56" s="23"/>
      <c r="C56" s="23"/>
    </row>
    <row r="57" spans="1:3" ht="18" customHeight="1" x14ac:dyDescent="0.25">
      <c r="A57" s="22" t="s">
        <v>130</v>
      </c>
      <c r="C57" s="23"/>
    </row>
    <row r="58" spans="1:3" ht="18" customHeight="1" x14ac:dyDescent="0.25">
      <c r="A58" s="23"/>
      <c r="C58" s="23" t="s">
        <v>131</v>
      </c>
    </row>
    <row r="59" spans="1:3" ht="18" customHeight="1" x14ac:dyDescent="0.25">
      <c r="A59" s="24" t="s">
        <v>132</v>
      </c>
      <c r="C59" s="23" t="s">
        <v>133</v>
      </c>
    </row>
    <row r="60" spans="1:3" ht="18" customHeight="1" x14ac:dyDescent="0.25">
      <c r="A60" s="24" t="s">
        <v>134</v>
      </c>
      <c r="C60" s="23" t="s">
        <v>135</v>
      </c>
    </row>
    <row r="61" spans="1:3" ht="18" customHeight="1" x14ac:dyDescent="0.25">
      <c r="A61" s="24" t="s">
        <v>136</v>
      </c>
      <c r="C61" s="23" t="s">
        <v>137</v>
      </c>
    </row>
    <row r="62" spans="1:3" ht="18" customHeight="1" x14ac:dyDescent="0.25">
      <c r="A62" s="23"/>
      <c r="C62" s="23"/>
    </row>
    <row r="63" spans="1:3" ht="18" customHeight="1" x14ac:dyDescent="0.25">
      <c r="A63" s="22" t="s">
        <v>138</v>
      </c>
      <c r="C63" s="23"/>
    </row>
    <row r="64" spans="1:3" ht="18" customHeight="1" x14ac:dyDescent="0.25">
      <c r="A64" s="24" t="s">
        <v>139</v>
      </c>
      <c r="C64" s="23" t="s">
        <v>140</v>
      </c>
    </row>
    <row r="65" spans="1:3" ht="18" customHeight="1" x14ac:dyDescent="0.25">
      <c r="A65" s="24" t="s">
        <v>141</v>
      </c>
      <c r="C65" s="23" t="s">
        <v>142</v>
      </c>
    </row>
    <row r="66" spans="1:3" ht="18" customHeight="1" x14ac:dyDescent="0.25">
      <c r="A66" s="24" t="s">
        <v>143</v>
      </c>
      <c r="C66" s="23" t="s">
        <v>144</v>
      </c>
    </row>
    <row r="67" spans="1:3" ht="18" customHeight="1" x14ac:dyDescent="0.25">
      <c r="A67" s="24" t="s">
        <v>145</v>
      </c>
      <c r="C67" s="23" t="s">
        <v>146</v>
      </c>
    </row>
    <row r="68" spans="1:3" ht="18" customHeight="1" x14ac:dyDescent="0.25">
      <c r="A68" s="24" t="s">
        <v>147</v>
      </c>
      <c r="C68" s="23" t="s">
        <v>148</v>
      </c>
    </row>
    <row r="69" spans="1:3" ht="18" customHeight="1" x14ac:dyDescent="0.25">
      <c r="A69" s="23"/>
      <c r="C69" s="23"/>
    </row>
    <row r="70" spans="1:3" ht="18" customHeight="1" x14ac:dyDescent="0.25">
      <c r="A70" s="22" t="s">
        <v>149</v>
      </c>
      <c r="C70" s="23"/>
    </row>
    <row r="71" spans="1:3" ht="18" customHeight="1" x14ac:dyDescent="0.25">
      <c r="A71" s="24" t="s">
        <v>150</v>
      </c>
      <c r="C71" s="23" t="s">
        <v>151</v>
      </c>
    </row>
    <row r="72" spans="1:3" ht="18" customHeight="1" x14ac:dyDescent="0.25">
      <c r="A72" s="24" t="s">
        <v>152</v>
      </c>
      <c r="C72" s="23" t="s">
        <v>153</v>
      </c>
    </row>
    <row r="73" spans="1:3" ht="18" customHeight="1" x14ac:dyDescent="0.25">
      <c r="A73" s="23"/>
      <c r="C73" s="23" t="s">
        <v>154</v>
      </c>
    </row>
    <row r="74" spans="1:3" ht="18" customHeight="1" x14ac:dyDescent="0.25">
      <c r="A74" s="23"/>
      <c r="C74" s="23"/>
    </row>
    <row r="75" spans="1:3" ht="18" customHeight="1" x14ac:dyDescent="0.25">
      <c r="A75" s="22" t="s">
        <v>155</v>
      </c>
      <c r="C75" s="23"/>
    </row>
    <row r="76" spans="1:3" ht="18" customHeight="1" x14ac:dyDescent="0.25">
      <c r="A76" s="24" t="s">
        <v>156</v>
      </c>
      <c r="C76" s="23" t="s">
        <v>157</v>
      </c>
    </row>
    <row r="77" spans="1:3" ht="18" customHeight="1" x14ac:dyDescent="0.25">
      <c r="A77" s="24" t="s">
        <v>158</v>
      </c>
      <c r="C77" s="23" t="s">
        <v>159</v>
      </c>
    </row>
    <row r="78" spans="1:3" ht="18" customHeight="1" x14ac:dyDescent="0.25">
      <c r="A78" s="23"/>
      <c r="C78" s="23"/>
    </row>
    <row r="79" spans="1:3" ht="18" customHeight="1" x14ac:dyDescent="0.25">
      <c r="A79" s="22" t="s">
        <v>160</v>
      </c>
      <c r="C79" s="23"/>
    </row>
    <row r="80" spans="1:3" ht="18" customHeight="1" x14ac:dyDescent="0.25">
      <c r="A80" s="23" t="s">
        <v>161</v>
      </c>
      <c r="C80" s="23" t="s">
        <v>162</v>
      </c>
    </row>
    <row r="81" spans="1:3" ht="18" customHeight="1" x14ac:dyDescent="0.25">
      <c r="A81" s="23" t="s">
        <v>161</v>
      </c>
      <c r="C81" s="23" t="s">
        <v>163</v>
      </c>
    </row>
    <row r="82" spans="1:3" ht="18" customHeight="1" x14ac:dyDescent="0.25">
      <c r="A82" s="23" t="s">
        <v>161</v>
      </c>
      <c r="C82" s="23" t="s">
        <v>164</v>
      </c>
    </row>
    <row r="83" spans="1:3" ht="18" customHeight="1" x14ac:dyDescent="0.25">
      <c r="A83" s="23" t="s">
        <v>161</v>
      </c>
      <c r="C83" s="23" t="s">
        <v>165</v>
      </c>
    </row>
    <row r="84" spans="1:3" ht="18" customHeight="1" x14ac:dyDescent="0.25">
      <c r="A84" s="23" t="s">
        <v>161</v>
      </c>
      <c r="C84" s="23" t="s">
        <v>166</v>
      </c>
    </row>
    <row r="85" spans="1:3" ht="18" customHeight="1" x14ac:dyDescent="0.25">
      <c r="A85" s="23" t="s">
        <v>161</v>
      </c>
      <c r="C85" s="23" t="s">
        <v>167</v>
      </c>
    </row>
    <row r="86" spans="1:3" ht="18" customHeight="1" x14ac:dyDescent="0.25">
      <c r="A86" s="23" t="s">
        <v>161</v>
      </c>
      <c r="C86" s="23" t="s">
        <v>168</v>
      </c>
    </row>
    <row r="87" spans="1:3" ht="18" customHeight="1" x14ac:dyDescent="0.25">
      <c r="A87" s="23"/>
      <c r="C87" s="23"/>
    </row>
    <row r="88" spans="1:3" ht="18" customHeight="1" x14ac:dyDescent="0.25">
      <c r="A88" s="22" t="s">
        <v>169</v>
      </c>
      <c r="C88" s="23"/>
    </row>
    <row r="89" spans="1:3" ht="18" customHeight="1" x14ac:dyDescent="0.25">
      <c r="A89" s="23"/>
      <c r="C89" s="23" t="s">
        <v>170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Fiscal</vt:lpstr>
      <vt:lpstr>Instrucciones de Llenado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 Alcaraz Preciado</cp:lastModifiedBy>
  <cp:revision>0</cp:revision>
  <dcterms:created xsi:type="dcterms:W3CDTF">2026-02-11T23:39:41Z</dcterms:created>
  <dcterms:modified xsi:type="dcterms:W3CDTF">2026-02-11T23:55:41Z</dcterms:modified>
  <dc:language>en-US</dc:language>
</cp:coreProperties>
</file>